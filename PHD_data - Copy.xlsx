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mu\Degree\Year_3\Sem 1\FYP\TestData\"/>
    </mc:Choice>
  </mc:AlternateContent>
  <xr:revisionPtr revIDLastSave="0" documentId="13_ncr:1_{0816E73E-B189-42A2-BCF8-5B370738815C}" xr6:coauthVersionLast="47" xr6:coauthVersionMax="47" xr10:uidLastSave="{00000000-0000-0000-0000-000000000000}"/>
  <bookViews>
    <workbookView xWindow="-108" yWindow="-108" windowWidth="23256" windowHeight="12456" activeTab="4" xr2:uid="{76785563-27CA-49F5-BC37-6EEBB19E7966}"/>
  </bookViews>
  <sheets>
    <sheet name="Data_input" sheetId="7" r:id="rId1"/>
    <sheet name="data_coll" sheetId="1" r:id="rId2"/>
    <sheet name="PPM_Student" sheetId="2" r:id="rId3"/>
    <sheet name="Data_count" sheetId="3" r:id="rId4"/>
    <sheet name="Data_preview" sheetId="4" r:id="rId5"/>
    <sheet name="Student_Status" sheetId="6" r:id="rId6"/>
    <sheet name="Data_Mark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I2" i="5"/>
  <c r="G24" i="5"/>
  <c r="F2" i="5"/>
  <c r="I2" i="4" a="1"/>
  <c r="I2" i="4" s="1"/>
  <c r="I3" i="4" a="1"/>
  <c r="I3" i="4" s="1"/>
  <c r="I4" i="4" a="1"/>
  <c r="I4" i="4" s="1"/>
  <c r="I5" i="4" a="1"/>
  <c r="I5" i="4" s="1"/>
  <c r="I6" i="4" a="1"/>
  <c r="I6" i="4" s="1"/>
  <c r="I7" i="4" a="1"/>
  <c r="I7" i="4"/>
  <c r="I8" i="4" a="1"/>
  <c r="I8" i="4"/>
  <c r="I9" i="4" a="1"/>
  <c r="I9" i="4" s="1"/>
  <c r="I10" i="4" a="1"/>
  <c r="I10" i="4" s="1"/>
  <c r="I11" i="4" a="1"/>
  <c r="I11" i="4" s="1"/>
  <c r="I12" i="4" a="1"/>
  <c r="I12" i="4" s="1"/>
  <c r="I13" i="4" a="1"/>
  <c r="I13" i="4"/>
  <c r="I14" i="4" a="1"/>
  <c r="I14" i="4"/>
  <c r="I15" i="4" a="1"/>
  <c r="I15" i="4" s="1"/>
  <c r="I16" i="4" a="1"/>
  <c r="I16" i="4" s="1"/>
  <c r="I17" i="4" a="1"/>
  <c r="I17" i="4" s="1"/>
  <c r="I18" i="4" a="1"/>
  <c r="I18" i="4" s="1"/>
  <c r="I19" i="4" a="1"/>
  <c r="I19" i="4"/>
  <c r="I20" i="4" a="1"/>
  <c r="I20" i="4"/>
  <c r="I21" i="4" a="1"/>
  <c r="I21" i="4" s="1"/>
  <c r="I22" i="4" a="1"/>
  <c r="I22" i="4" s="1"/>
  <c r="I23" i="4" a="1"/>
  <c r="I23" i="4" s="1"/>
  <c r="I24" i="4" a="1"/>
  <c r="I24" i="4" s="1"/>
  <c r="I25" i="4" a="1"/>
  <c r="I25" i="4"/>
  <c r="I26" i="4" a="1"/>
  <c r="I26" i="4"/>
  <c r="I27" i="4" a="1"/>
  <c r="I27" i="4" s="1"/>
  <c r="I28" i="4" a="1"/>
  <c r="I28" i="4" s="1"/>
  <c r="I29" i="4" a="1"/>
  <c r="I29" i="4" s="1"/>
  <c r="I30" i="4" a="1"/>
  <c r="I30" i="4" s="1"/>
  <c r="I31" i="4" a="1"/>
  <c r="I31" i="4"/>
  <c r="I32" i="4" a="1"/>
  <c r="I32" i="4"/>
  <c r="I33" i="4" a="1"/>
  <c r="I33" i="4" s="1"/>
  <c r="I34" i="4" a="1"/>
  <c r="I34" i="4" s="1"/>
  <c r="I35" i="4" a="1"/>
  <c r="I35" i="4" s="1"/>
  <c r="I36" i="4" a="1"/>
  <c r="I36" i="4" s="1"/>
  <c r="I37" i="4" a="1"/>
  <c r="I37" i="4"/>
  <c r="I38" i="4" a="1"/>
  <c r="I38" i="4"/>
  <c r="I39" i="4" a="1"/>
  <c r="I39" i="4" s="1"/>
  <c r="I40" i="4" a="1"/>
  <c r="I40" i="4" s="1"/>
  <c r="I41" i="4" a="1"/>
  <c r="I41" i="4" s="1"/>
  <c r="I42" i="4" a="1"/>
  <c r="I42" i="4" s="1"/>
  <c r="I43" i="4" a="1"/>
  <c r="I43" i="4"/>
  <c r="I44" i="4" a="1"/>
  <c r="I44" i="4"/>
  <c r="I45" i="4" a="1"/>
  <c r="I45" i="4" s="1"/>
  <c r="I46" i="4" a="1"/>
  <c r="I46" i="4" s="1"/>
  <c r="I47" i="4" a="1"/>
  <c r="I47" i="4" s="1"/>
  <c r="I48" i="4" a="1"/>
  <c r="I48" i="4" s="1"/>
  <c r="I49" i="4" a="1"/>
  <c r="I49" i="4"/>
  <c r="I50" i="4" a="1"/>
  <c r="I50" i="4"/>
  <c r="I51" i="4" a="1"/>
  <c r="I51" i="4" s="1"/>
  <c r="I52" i="4" a="1"/>
  <c r="I52" i="4" s="1"/>
  <c r="I53" i="4" a="1"/>
  <c r="I53" i="4" s="1"/>
  <c r="I54" i="4" a="1"/>
  <c r="I54" i="4" s="1"/>
  <c r="I55" i="4" a="1"/>
  <c r="I55" i="4"/>
  <c r="I56" i="4" a="1"/>
  <c r="I56" i="4"/>
  <c r="I57" i="4" a="1"/>
  <c r="I57" i="4" s="1"/>
  <c r="I58" i="4" a="1"/>
  <c r="I58" i="4" s="1"/>
  <c r="I59" i="4" a="1"/>
  <c r="I59" i="4" s="1"/>
  <c r="I60" i="4" a="1"/>
  <c r="I60" i="4" s="1"/>
  <c r="F5" i="5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2" i="1"/>
  <c r="R2" i="1"/>
  <c r="G6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L2" i="1"/>
  <c r="W22" i="1"/>
  <c r="W23" i="1"/>
  <c r="T28" i="1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2" i="6"/>
  <c r="M2" i="1"/>
  <c r="W2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2" i="4"/>
  <c r="R5" i="1"/>
  <c r="T2" i="1"/>
  <c r="D2" i="5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2" i="2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2" i="6"/>
  <c r="N2" i="1"/>
  <c r="A66" i="5"/>
  <c r="A65" i="5"/>
  <c r="A64" i="5"/>
  <c r="A63" i="5"/>
  <c r="A62" i="5"/>
  <c r="A61" i="5"/>
  <c r="C60" i="5"/>
  <c r="B60" i="5"/>
  <c r="A60" i="5"/>
  <c r="H60" i="5" s="1"/>
  <c r="C59" i="5"/>
  <c r="B59" i="5"/>
  <c r="A59" i="5"/>
  <c r="H59" i="5" s="1"/>
  <c r="C58" i="5"/>
  <c r="B58" i="5"/>
  <c r="A58" i="5"/>
  <c r="H58" i="5" s="1"/>
  <c r="C57" i="5"/>
  <c r="B57" i="5"/>
  <c r="A57" i="5"/>
  <c r="H57" i="5" s="1"/>
  <c r="C56" i="5"/>
  <c r="B56" i="5"/>
  <c r="A56" i="5"/>
  <c r="H56" i="5" s="1"/>
  <c r="C55" i="5"/>
  <c r="B55" i="5"/>
  <c r="A55" i="5"/>
  <c r="H55" i="5" s="1"/>
  <c r="C54" i="5"/>
  <c r="B54" i="5"/>
  <c r="A54" i="5"/>
  <c r="H54" i="5" s="1"/>
  <c r="C53" i="5"/>
  <c r="B53" i="5"/>
  <c r="A53" i="5"/>
  <c r="H53" i="5" s="1"/>
  <c r="C52" i="5"/>
  <c r="B52" i="5"/>
  <c r="A52" i="5"/>
  <c r="H52" i="5" s="1"/>
  <c r="C51" i="5"/>
  <c r="B51" i="5"/>
  <c r="A51" i="5"/>
  <c r="H51" i="5" s="1"/>
  <c r="C50" i="5"/>
  <c r="B50" i="5"/>
  <c r="A50" i="5"/>
  <c r="H50" i="5" s="1"/>
  <c r="C49" i="5"/>
  <c r="B49" i="5"/>
  <c r="A49" i="5"/>
  <c r="H49" i="5" s="1"/>
  <c r="C48" i="5"/>
  <c r="B48" i="5"/>
  <c r="A48" i="5"/>
  <c r="H48" i="5" s="1"/>
  <c r="C47" i="5"/>
  <c r="B47" i="5"/>
  <c r="A47" i="5"/>
  <c r="H47" i="5" s="1"/>
  <c r="C46" i="5"/>
  <c r="B46" i="5"/>
  <c r="A46" i="5"/>
  <c r="H46" i="5" s="1"/>
  <c r="C45" i="5"/>
  <c r="B45" i="5"/>
  <c r="A45" i="5"/>
  <c r="H45" i="5" s="1"/>
  <c r="C44" i="5"/>
  <c r="B44" i="5"/>
  <c r="A44" i="5"/>
  <c r="H44" i="5" s="1"/>
  <c r="C43" i="5"/>
  <c r="B43" i="5"/>
  <c r="A43" i="5"/>
  <c r="H43" i="5" s="1"/>
  <c r="C42" i="5"/>
  <c r="B42" i="5"/>
  <c r="A42" i="5"/>
  <c r="H42" i="5" s="1"/>
  <c r="C41" i="5"/>
  <c r="B41" i="5"/>
  <c r="A41" i="5"/>
  <c r="H41" i="5" s="1"/>
  <c r="C40" i="5"/>
  <c r="B40" i="5"/>
  <c r="A40" i="5"/>
  <c r="H40" i="5" s="1"/>
  <c r="C39" i="5"/>
  <c r="B39" i="5"/>
  <c r="A39" i="5"/>
  <c r="H39" i="5" s="1"/>
  <c r="C38" i="5"/>
  <c r="B38" i="5"/>
  <c r="A38" i="5"/>
  <c r="H38" i="5" s="1"/>
  <c r="C37" i="5"/>
  <c r="B37" i="5"/>
  <c r="A37" i="5"/>
  <c r="H37" i="5" s="1"/>
  <c r="C36" i="5"/>
  <c r="B36" i="5"/>
  <c r="A36" i="5"/>
  <c r="H36" i="5" s="1"/>
  <c r="C35" i="5"/>
  <c r="B35" i="5"/>
  <c r="A35" i="5"/>
  <c r="H35" i="5" s="1"/>
  <c r="C34" i="5"/>
  <c r="B34" i="5"/>
  <c r="A34" i="5"/>
  <c r="H34" i="5" s="1"/>
  <c r="C33" i="5"/>
  <c r="B33" i="5"/>
  <c r="A33" i="5"/>
  <c r="H33" i="5" s="1"/>
  <c r="C32" i="5"/>
  <c r="B32" i="5"/>
  <c r="A32" i="5"/>
  <c r="H32" i="5" s="1"/>
  <c r="C31" i="5"/>
  <c r="B31" i="5"/>
  <c r="A31" i="5"/>
  <c r="H31" i="5" s="1"/>
  <c r="C30" i="5"/>
  <c r="B30" i="5"/>
  <c r="A30" i="5"/>
  <c r="H30" i="5" s="1"/>
  <c r="C29" i="5"/>
  <c r="B29" i="5"/>
  <c r="A29" i="5"/>
  <c r="H29" i="5" s="1"/>
  <c r="C28" i="5"/>
  <c r="B28" i="5"/>
  <c r="A28" i="5"/>
  <c r="H28" i="5" s="1"/>
  <c r="C27" i="5"/>
  <c r="B27" i="5"/>
  <c r="A27" i="5"/>
  <c r="H27" i="5" s="1"/>
  <c r="C26" i="5"/>
  <c r="B26" i="5"/>
  <c r="A26" i="5"/>
  <c r="H26" i="5" s="1"/>
  <c r="C25" i="5"/>
  <c r="B25" i="5"/>
  <c r="A25" i="5"/>
  <c r="H25" i="5" s="1"/>
  <c r="C24" i="5"/>
  <c r="B24" i="5"/>
  <c r="A24" i="5"/>
  <c r="H24" i="5" s="1"/>
  <c r="C23" i="5"/>
  <c r="B23" i="5"/>
  <c r="A23" i="5"/>
  <c r="H23" i="5" s="1"/>
  <c r="C22" i="5"/>
  <c r="B22" i="5"/>
  <c r="A22" i="5"/>
  <c r="H22" i="5" s="1"/>
  <c r="C21" i="5"/>
  <c r="B21" i="5"/>
  <c r="A21" i="5"/>
  <c r="H21" i="5" s="1"/>
  <c r="C20" i="5"/>
  <c r="B20" i="5"/>
  <c r="A20" i="5"/>
  <c r="H20" i="5" s="1"/>
  <c r="C19" i="5"/>
  <c r="B19" i="5"/>
  <c r="A19" i="5"/>
  <c r="H19" i="5" s="1"/>
  <c r="C18" i="5"/>
  <c r="B18" i="5"/>
  <c r="A18" i="5"/>
  <c r="H18" i="5" s="1"/>
  <c r="C17" i="5"/>
  <c r="B17" i="5"/>
  <c r="A17" i="5"/>
  <c r="H17" i="5" s="1"/>
  <c r="C16" i="5"/>
  <c r="B16" i="5"/>
  <c r="A16" i="5"/>
  <c r="H16" i="5" s="1"/>
  <c r="C15" i="5"/>
  <c r="B15" i="5"/>
  <c r="A15" i="5"/>
  <c r="H15" i="5" s="1"/>
  <c r="C14" i="5"/>
  <c r="B14" i="5"/>
  <c r="A14" i="5"/>
  <c r="H14" i="5" s="1"/>
  <c r="C13" i="5"/>
  <c r="B13" i="5"/>
  <c r="A13" i="5"/>
  <c r="H13" i="5" s="1"/>
  <c r="C12" i="5"/>
  <c r="B12" i="5"/>
  <c r="A12" i="5"/>
  <c r="H12" i="5" s="1"/>
  <c r="C11" i="5"/>
  <c r="B11" i="5"/>
  <c r="A11" i="5"/>
  <c r="H11" i="5" s="1"/>
  <c r="C10" i="5"/>
  <c r="B10" i="5"/>
  <c r="A10" i="5"/>
  <c r="H10" i="5" s="1"/>
  <c r="C9" i="5"/>
  <c r="B9" i="5"/>
  <c r="A9" i="5"/>
  <c r="H9" i="5" s="1"/>
  <c r="C8" i="5"/>
  <c r="B8" i="5"/>
  <c r="A8" i="5"/>
  <c r="H8" i="5" s="1"/>
  <c r="C7" i="5"/>
  <c r="B7" i="5"/>
  <c r="A7" i="5"/>
  <c r="H7" i="5" s="1"/>
  <c r="C6" i="5"/>
  <c r="B6" i="5"/>
  <c r="A6" i="5"/>
  <c r="H6" i="5" s="1"/>
  <c r="C5" i="5"/>
  <c r="B5" i="5"/>
  <c r="A5" i="5"/>
  <c r="H5" i="5" s="1"/>
  <c r="C4" i="5"/>
  <c r="B4" i="5"/>
  <c r="A4" i="5"/>
  <c r="H4" i="5" s="1"/>
  <c r="C3" i="5"/>
  <c r="B3" i="5"/>
  <c r="A3" i="5"/>
  <c r="H3" i="5" s="1"/>
  <c r="C2" i="5"/>
  <c r="B2" i="5"/>
  <c r="A2" i="5"/>
  <c r="H2" i="5" s="1"/>
  <c r="A66" i="6"/>
  <c r="A65" i="6"/>
  <c r="A64" i="6"/>
  <c r="A63" i="6"/>
  <c r="A62" i="6"/>
  <c r="A61" i="6"/>
  <c r="C60" i="6"/>
  <c r="B60" i="6"/>
  <c r="A60" i="6"/>
  <c r="J60" i="6" s="1"/>
  <c r="C59" i="6"/>
  <c r="B59" i="6"/>
  <c r="A59" i="6"/>
  <c r="J59" i="6" s="1"/>
  <c r="C58" i="6"/>
  <c r="B58" i="6"/>
  <c r="A58" i="6"/>
  <c r="J58" i="6" s="1"/>
  <c r="C57" i="6"/>
  <c r="B57" i="6"/>
  <c r="A57" i="6"/>
  <c r="J57" i="6" s="1"/>
  <c r="C56" i="6"/>
  <c r="B56" i="6"/>
  <c r="A56" i="6"/>
  <c r="J56" i="6" s="1"/>
  <c r="C55" i="6"/>
  <c r="B55" i="6"/>
  <c r="A55" i="6"/>
  <c r="J55" i="6" s="1"/>
  <c r="C54" i="6"/>
  <c r="B54" i="6"/>
  <c r="A54" i="6"/>
  <c r="J54" i="6" s="1"/>
  <c r="C53" i="6"/>
  <c r="B53" i="6"/>
  <c r="A53" i="6"/>
  <c r="J53" i="6" s="1"/>
  <c r="C52" i="6"/>
  <c r="B52" i="6"/>
  <c r="A52" i="6"/>
  <c r="J52" i="6" s="1"/>
  <c r="C51" i="6"/>
  <c r="B51" i="6"/>
  <c r="A51" i="6"/>
  <c r="J51" i="6" s="1"/>
  <c r="C50" i="6"/>
  <c r="B50" i="6"/>
  <c r="A50" i="6"/>
  <c r="J50" i="6" s="1"/>
  <c r="C49" i="6"/>
  <c r="B49" i="6"/>
  <c r="A49" i="6"/>
  <c r="J49" i="6" s="1"/>
  <c r="C48" i="6"/>
  <c r="B48" i="6"/>
  <c r="A48" i="6"/>
  <c r="J48" i="6" s="1"/>
  <c r="C47" i="6"/>
  <c r="B47" i="6"/>
  <c r="A47" i="6"/>
  <c r="J47" i="6" s="1"/>
  <c r="C46" i="6"/>
  <c r="B46" i="6"/>
  <c r="A46" i="6"/>
  <c r="J46" i="6" s="1"/>
  <c r="C45" i="6"/>
  <c r="B45" i="6"/>
  <c r="A45" i="6"/>
  <c r="J45" i="6" s="1"/>
  <c r="C44" i="6"/>
  <c r="B44" i="6"/>
  <c r="A44" i="6"/>
  <c r="J44" i="6" s="1"/>
  <c r="C43" i="6"/>
  <c r="B43" i="6"/>
  <c r="A43" i="6"/>
  <c r="J43" i="6" s="1"/>
  <c r="C42" i="6"/>
  <c r="B42" i="6"/>
  <c r="A42" i="6"/>
  <c r="J42" i="6" s="1"/>
  <c r="C41" i="6"/>
  <c r="B41" i="6"/>
  <c r="A41" i="6"/>
  <c r="C40" i="6"/>
  <c r="B40" i="6"/>
  <c r="A40" i="6"/>
  <c r="C39" i="6"/>
  <c r="B39" i="6"/>
  <c r="A39" i="6"/>
  <c r="C38" i="6"/>
  <c r="B38" i="6"/>
  <c r="A38" i="6"/>
  <c r="C37" i="6"/>
  <c r="B37" i="6"/>
  <c r="A37" i="6"/>
  <c r="C36" i="6"/>
  <c r="B36" i="6"/>
  <c r="A36" i="6"/>
  <c r="C35" i="6"/>
  <c r="B35" i="6"/>
  <c r="A35" i="6"/>
  <c r="C34" i="6"/>
  <c r="B34" i="6"/>
  <c r="A34" i="6"/>
  <c r="C33" i="6"/>
  <c r="B33" i="6"/>
  <c r="A33" i="6"/>
  <c r="C32" i="6"/>
  <c r="B32" i="6"/>
  <c r="A32" i="6"/>
  <c r="C31" i="6"/>
  <c r="B31" i="6"/>
  <c r="A31" i="6"/>
  <c r="C30" i="6"/>
  <c r="B30" i="6"/>
  <c r="A30" i="6"/>
  <c r="C29" i="6"/>
  <c r="B29" i="6"/>
  <c r="A29" i="6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C18" i="6"/>
  <c r="B18" i="6"/>
  <c r="A18" i="6"/>
  <c r="C17" i="6"/>
  <c r="B17" i="6"/>
  <c r="A17" i="6"/>
  <c r="C16" i="6"/>
  <c r="B16" i="6"/>
  <c r="A16" i="6"/>
  <c r="C15" i="6"/>
  <c r="B15" i="6"/>
  <c r="A15" i="6"/>
  <c r="C14" i="6"/>
  <c r="B14" i="6"/>
  <c r="A14" i="6"/>
  <c r="C13" i="6"/>
  <c r="B13" i="6"/>
  <c r="A13" i="6"/>
  <c r="C12" i="6"/>
  <c r="B12" i="6"/>
  <c r="A12" i="6"/>
  <c r="C11" i="6"/>
  <c r="B11" i="6"/>
  <c r="A11" i="6"/>
  <c r="C10" i="6"/>
  <c r="B10" i="6"/>
  <c r="A10" i="6"/>
  <c r="C9" i="6"/>
  <c r="B9" i="6"/>
  <c r="A9" i="6"/>
  <c r="C8" i="6"/>
  <c r="B8" i="6"/>
  <c r="A8" i="6"/>
  <c r="C7" i="6"/>
  <c r="B7" i="6"/>
  <c r="A7" i="6"/>
  <c r="C6" i="6"/>
  <c r="B6" i="6"/>
  <c r="A6" i="6"/>
  <c r="C5" i="6"/>
  <c r="B5" i="6"/>
  <c r="A5" i="6"/>
  <c r="C4" i="6"/>
  <c r="B4" i="6"/>
  <c r="A4" i="6"/>
  <c r="C3" i="6"/>
  <c r="B3" i="6"/>
  <c r="A3" i="6"/>
  <c r="C2" i="6"/>
  <c r="B2" i="6"/>
  <c r="A2" i="6"/>
  <c r="A66" i="4"/>
  <c r="A65" i="4"/>
  <c r="A64" i="4"/>
  <c r="A63" i="4"/>
  <c r="A62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C3" i="4"/>
  <c r="B3" i="4"/>
  <c r="A3" i="4"/>
  <c r="C2" i="4"/>
  <c r="B2" i="4"/>
  <c r="A2" i="4"/>
  <c r="A66" i="3"/>
  <c r="A65" i="3"/>
  <c r="A64" i="3"/>
  <c r="A63" i="3"/>
  <c r="A62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56" i="3"/>
  <c r="B56" i="3"/>
  <c r="A56" i="3"/>
  <c r="C55" i="3"/>
  <c r="B55" i="3"/>
  <c r="A55" i="3"/>
  <c r="C54" i="3"/>
  <c r="B54" i="3"/>
  <c r="A54" i="3"/>
  <c r="C53" i="3"/>
  <c r="B53" i="3"/>
  <c r="A53" i="3"/>
  <c r="C52" i="3"/>
  <c r="B52" i="3"/>
  <c r="A52" i="3"/>
  <c r="C51" i="3"/>
  <c r="B51" i="3"/>
  <c r="A51" i="3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  <c r="C4" i="3"/>
  <c r="B4" i="3"/>
  <c r="A4" i="3"/>
  <c r="C3" i="3"/>
  <c r="B3" i="3"/>
  <c r="A3" i="3"/>
  <c r="C2" i="3"/>
  <c r="B2" i="3"/>
  <c r="A2" i="3"/>
  <c r="A66" i="2"/>
  <c r="A65" i="2"/>
  <c r="A64" i="2"/>
  <c r="A63" i="2"/>
  <c r="A62" i="2"/>
  <c r="A61" i="2"/>
  <c r="C60" i="2"/>
  <c r="B60" i="2"/>
  <c r="A60" i="2"/>
  <c r="U60" i="2" s="1"/>
  <c r="C59" i="2"/>
  <c r="B59" i="2"/>
  <c r="A59" i="2"/>
  <c r="U59" i="2" s="1"/>
  <c r="C58" i="2"/>
  <c r="B58" i="2"/>
  <c r="A58" i="2"/>
  <c r="U58" i="2" s="1"/>
  <c r="C57" i="2"/>
  <c r="B57" i="2"/>
  <c r="A57" i="2"/>
  <c r="U57" i="2" s="1"/>
  <c r="C56" i="2"/>
  <c r="B56" i="2"/>
  <c r="A56" i="2"/>
  <c r="U56" i="2" s="1"/>
  <c r="C55" i="2"/>
  <c r="B55" i="2"/>
  <c r="A55" i="2"/>
  <c r="U55" i="2" s="1"/>
  <c r="C54" i="2"/>
  <c r="B54" i="2"/>
  <c r="A54" i="2"/>
  <c r="U54" i="2" s="1"/>
  <c r="C53" i="2"/>
  <c r="B53" i="2"/>
  <c r="A53" i="2"/>
  <c r="U53" i="2" s="1"/>
  <c r="C52" i="2"/>
  <c r="B52" i="2"/>
  <c r="A52" i="2"/>
  <c r="U52" i="2" s="1"/>
  <c r="C51" i="2"/>
  <c r="B51" i="2"/>
  <c r="A51" i="2"/>
  <c r="U51" i="2" s="1"/>
  <c r="C50" i="2"/>
  <c r="B50" i="2"/>
  <c r="A50" i="2"/>
  <c r="U50" i="2" s="1"/>
  <c r="C49" i="2"/>
  <c r="B49" i="2"/>
  <c r="A49" i="2"/>
  <c r="U49" i="2" s="1"/>
  <c r="C48" i="2"/>
  <c r="B48" i="2"/>
  <c r="A48" i="2"/>
  <c r="U48" i="2" s="1"/>
  <c r="C47" i="2"/>
  <c r="B47" i="2"/>
  <c r="A47" i="2"/>
  <c r="U47" i="2" s="1"/>
  <c r="C46" i="2"/>
  <c r="B46" i="2"/>
  <c r="A46" i="2"/>
  <c r="U46" i="2" s="1"/>
  <c r="C45" i="2"/>
  <c r="B45" i="2"/>
  <c r="A45" i="2"/>
  <c r="U45" i="2" s="1"/>
  <c r="C44" i="2"/>
  <c r="B44" i="2"/>
  <c r="A44" i="2"/>
  <c r="U44" i="2" s="1"/>
  <c r="C43" i="2"/>
  <c r="B43" i="2"/>
  <c r="A43" i="2"/>
  <c r="U43" i="2" s="1"/>
  <c r="C42" i="2"/>
  <c r="B42" i="2"/>
  <c r="A42" i="2"/>
  <c r="U42" i="2" s="1"/>
  <c r="C41" i="2"/>
  <c r="B41" i="2"/>
  <c r="A41" i="2"/>
  <c r="U41" i="2" s="1"/>
  <c r="C40" i="2"/>
  <c r="B40" i="2"/>
  <c r="A40" i="2"/>
  <c r="U40" i="2" s="1"/>
  <c r="G40" i="6" s="1"/>
  <c r="C39" i="2"/>
  <c r="B39" i="2"/>
  <c r="A39" i="2"/>
  <c r="U39" i="2" s="1"/>
  <c r="G39" i="6" s="1"/>
  <c r="C38" i="2"/>
  <c r="B38" i="2"/>
  <c r="A38" i="2"/>
  <c r="U38" i="2" s="1"/>
  <c r="G38" i="6" s="1"/>
  <c r="C37" i="2"/>
  <c r="B37" i="2"/>
  <c r="A37" i="2"/>
  <c r="U37" i="2" s="1"/>
  <c r="G37" i="6" s="1"/>
  <c r="C36" i="2"/>
  <c r="B36" i="2"/>
  <c r="A36" i="2"/>
  <c r="U36" i="2" s="1"/>
  <c r="G36" i="6" s="1"/>
  <c r="C35" i="2"/>
  <c r="B35" i="2"/>
  <c r="A35" i="2"/>
  <c r="U35" i="2" s="1"/>
  <c r="G35" i="6" s="1"/>
  <c r="C34" i="2"/>
  <c r="B34" i="2"/>
  <c r="A34" i="2"/>
  <c r="U34" i="2" s="1"/>
  <c r="G34" i="6" s="1"/>
  <c r="C33" i="2"/>
  <c r="B33" i="2"/>
  <c r="A33" i="2"/>
  <c r="U33" i="2" s="1"/>
  <c r="G33" i="6" s="1"/>
  <c r="C32" i="2"/>
  <c r="B32" i="2"/>
  <c r="A32" i="2"/>
  <c r="U32" i="2" s="1"/>
  <c r="G32" i="6" s="1"/>
  <c r="C31" i="2"/>
  <c r="B31" i="2"/>
  <c r="A31" i="2"/>
  <c r="U31" i="2" s="1"/>
  <c r="G31" i="6" s="1"/>
  <c r="C30" i="2"/>
  <c r="B30" i="2"/>
  <c r="A30" i="2"/>
  <c r="U30" i="2" s="1"/>
  <c r="G30" i="6" s="1"/>
  <c r="C29" i="2"/>
  <c r="B29" i="2"/>
  <c r="A29" i="2"/>
  <c r="U29" i="2" s="1"/>
  <c r="G29" i="6" s="1"/>
  <c r="C28" i="2"/>
  <c r="B28" i="2"/>
  <c r="A28" i="2"/>
  <c r="U28" i="2" s="1"/>
  <c r="G28" i="6" s="1"/>
  <c r="C27" i="2"/>
  <c r="B27" i="2"/>
  <c r="A27" i="2"/>
  <c r="U27" i="2" s="1"/>
  <c r="G27" i="6" s="1"/>
  <c r="C26" i="2"/>
  <c r="B26" i="2"/>
  <c r="A26" i="2"/>
  <c r="U26" i="2" s="1"/>
  <c r="G26" i="6" s="1"/>
  <c r="C25" i="2"/>
  <c r="B25" i="2"/>
  <c r="A25" i="2"/>
  <c r="U25" i="2" s="1"/>
  <c r="G25" i="6" s="1"/>
  <c r="C24" i="2"/>
  <c r="B24" i="2"/>
  <c r="A24" i="2"/>
  <c r="U24" i="2" s="1"/>
  <c r="G24" i="6" s="1"/>
  <c r="C23" i="2"/>
  <c r="B23" i="2"/>
  <c r="A23" i="2"/>
  <c r="U23" i="2" s="1"/>
  <c r="G23" i="6" s="1"/>
  <c r="C22" i="2"/>
  <c r="B22" i="2"/>
  <c r="A22" i="2"/>
  <c r="U22" i="2" s="1"/>
  <c r="G22" i="6" s="1"/>
  <c r="C21" i="2"/>
  <c r="B21" i="2"/>
  <c r="A21" i="2"/>
  <c r="U21" i="2" s="1"/>
  <c r="G21" i="6" s="1"/>
  <c r="C20" i="2"/>
  <c r="B20" i="2"/>
  <c r="A20" i="2"/>
  <c r="U20" i="2" s="1"/>
  <c r="G20" i="6" s="1"/>
  <c r="C19" i="2"/>
  <c r="B19" i="2"/>
  <c r="A19" i="2"/>
  <c r="U19" i="2" s="1"/>
  <c r="G19" i="6" s="1"/>
  <c r="C18" i="2"/>
  <c r="B18" i="2"/>
  <c r="A18" i="2"/>
  <c r="U18" i="2" s="1"/>
  <c r="G18" i="6" s="1"/>
  <c r="C17" i="2"/>
  <c r="B17" i="2"/>
  <c r="A17" i="2"/>
  <c r="U17" i="2" s="1"/>
  <c r="G17" i="6" s="1"/>
  <c r="C16" i="2"/>
  <c r="B16" i="2"/>
  <c r="A16" i="2"/>
  <c r="U16" i="2" s="1"/>
  <c r="G16" i="6" s="1"/>
  <c r="C15" i="2"/>
  <c r="B15" i="2"/>
  <c r="A15" i="2"/>
  <c r="U15" i="2" s="1"/>
  <c r="G15" i="6" s="1"/>
  <c r="C14" i="2"/>
  <c r="B14" i="2"/>
  <c r="A14" i="2"/>
  <c r="U14" i="2" s="1"/>
  <c r="G14" i="6" s="1"/>
  <c r="C13" i="2"/>
  <c r="B13" i="2"/>
  <c r="A13" i="2"/>
  <c r="U13" i="2" s="1"/>
  <c r="G13" i="6" s="1"/>
  <c r="C12" i="2"/>
  <c r="B12" i="2"/>
  <c r="A12" i="2"/>
  <c r="U12" i="2" s="1"/>
  <c r="G12" i="6" s="1"/>
  <c r="C11" i="2"/>
  <c r="B11" i="2"/>
  <c r="A11" i="2"/>
  <c r="U11" i="2" s="1"/>
  <c r="G11" i="6" s="1"/>
  <c r="C10" i="2"/>
  <c r="B10" i="2"/>
  <c r="A10" i="2"/>
  <c r="U10" i="2" s="1"/>
  <c r="G10" i="6" s="1"/>
  <c r="C9" i="2"/>
  <c r="B9" i="2"/>
  <c r="A9" i="2"/>
  <c r="U9" i="2" s="1"/>
  <c r="G9" i="6" s="1"/>
  <c r="C8" i="2"/>
  <c r="B8" i="2"/>
  <c r="A8" i="2"/>
  <c r="U8" i="2" s="1"/>
  <c r="G8" i="6" s="1"/>
  <c r="C7" i="2"/>
  <c r="B7" i="2"/>
  <c r="A7" i="2"/>
  <c r="U7" i="2" s="1"/>
  <c r="G7" i="6" s="1"/>
  <c r="C6" i="2"/>
  <c r="B6" i="2"/>
  <c r="A6" i="2"/>
  <c r="U6" i="2" s="1"/>
  <c r="G6" i="6" s="1"/>
  <c r="C5" i="2"/>
  <c r="B5" i="2"/>
  <c r="A5" i="2"/>
  <c r="U5" i="2" s="1"/>
  <c r="G5" i="6" s="1"/>
  <c r="C4" i="2"/>
  <c r="B4" i="2"/>
  <c r="A4" i="2"/>
  <c r="U4" i="2" s="1"/>
  <c r="G4" i="6" s="1"/>
  <c r="C3" i="2"/>
  <c r="B3" i="2"/>
  <c r="A3" i="2"/>
  <c r="U3" i="2" s="1"/>
  <c r="G3" i="6" s="1"/>
  <c r="C2" i="2"/>
  <c r="B2" i="2"/>
  <c r="A2" i="2"/>
  <c r="U2" i="2" s="1"/>
  <c r="G2" i="6" s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N4" i="1"/>
  <c r="T16" i="1"/>
  <c r="O3" i="1"/>
  <c r="T4" i="1"/>
  <c r="T5" i="1"/>
  <c r="T6" i="1"/>
  <c r="T7" i="1"/>
  <c r="T8" i="1"/>
  <c r="T9" i="1"/>
  <c r="T10" i="1"/>
  <c r="T11" i="1"/>
  <c r="T12" i="1"/>
  <c r="T13" i="1"/>
  <c r="T14" i="1"/>
  <c r="T15" i="1"/>
  <c r="T17" i="1"/>
  <c r="T18" i="1"/>
  <c r="T19" i="1"/>
  <c r="T20" i="1"/>
  <c r="T21" i="1"/>
  <c r="T22" i="1"/>
  <c r="T23" i="1"/>
  <c r="T24" i="1"/>
  <c r="T25" i="1"/>
  <c r="T26" i="1"/>
  <c r="T27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3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3" i="1"/>
  <c r="R4" i="1"/>
  <c r="R6" i="1"/>
  <c r="R7" i="1"/>
  <c r="R8" i="1"/>
  <c r="R9" i="1"/>
  <c r="R10" i="1"/>
  <c r="O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N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2" i="1"/>
  <c r="G2" i="1"/>
  <c r="V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2" i="1"/>
  <c r="G3" i="1"/>
  <c r="G4" i="1"/>
  <c r="G5" i="1"/>
  <c r="G6" i="1"/>
  <c r="G7" i="1"/>
  <c r="G8" i="1"/>
  <c r="G9" i="1"/>
  <c r="G10" i="1"/>
  <c r="G11" i="1"/>
  <c r="G12" i="1"/>
  <c r="V12" i="1" s="1"/>
  <c r="G13" i="1"/>
  <c r="G14" i="1"/>
  <c r="V14" i="1" s="1"/>
  <c r="G15" i="1"/>
  <c r="G16" i="1"/>
  <c r="G17" i="1"/>
  <c r="G18" i="1"/>
  <c r="G19" i="1"/>
  <c r="G20" i="1"/>
  <c r="G21" i="1"/>
  <c r="G22" i="1"/>
  <c r="G23" i="1"/>
  <c r="G24" i="1"/>
  <c r="V24" i="1" s="1"/>
  <c r="G25" i="1"/>
  <c r="G26" i="1"/>
  <c r="V26" i="1" s="1"/>
  <c r="G27" i="1"/>
  <c r="G28" i="1"/>
  <c r="G29" i="1"/>
  <c r="G30" i="1"/>
  <c r="G31" i="1"/>
  <c r="G32" i="1"/>
  <c r="G33" i="1"/>
  <c r="G34" i="1"/>
  <c r="G35" i="1"/>
  <c r="G36" i="1"/>
  <c r="V36" i="1" s="1"/>
  <c r="G37" i="1"/>
  <c r="G38" i="1"/>
  <c r="V38" i="1" s="1"/>
  <c r="G39" i="1"/>
  <c r="G40" i="1"/>
  <c r="G41" i="1"/>
  <c r="G42" i="1"/>
  <c r="G43" i="1"/>
  <c r="G44" i="1"/>
  <c r="G45" i="1"/>
  <c r="G46" i="1"/>
  <c r="G47" i="1"/>
  <c r="G48" i="1"/>
  <c r="V48" i="1" s="1"/>
  <c r="G49" i="1"/>
  <c r="G50" i="1"/>
  <c r="V50" i="1" s="1"/>
  <c r="G51" i="1"/>
  <c r="G52" i="1"/>
  <c r="G53" i="1"/>
  <c r="G54" i="1"/>
  <c r="G55" i="1"/>
  <c r="G56" i="1"/>
  <c r="G57" i="1"/>
  <c r="G58" i="1"/>
  <c r="G59" i="1"/>
  <c r="G60" i="1"/>
  <c r="V60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2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2" i="1"/>
  <c r="G53" i="3" l="1"/>
  <c r="G41" i="3"/>
  <c r="G29" i="3"/>
  <c r="G17" i="3"/>
  <c r="G5" i="3"/>
  <c r="G50" i="3"/>
  <c r="G38" i="3"/>
  <c r="G26" i="3"/>
  <c r="G14" i="3"/>
  <c r="G60" i="3"/>
  <c r="G36" i="3"/>
  <c r="G24" i="3"/>
  <c r="H24" i="4" s="1"/>
  <c r="G12" i="3"/>
  <c r="F26" i="3"/>
  <c r="G59" i="3"/>
  <c r="G47" i="3"/>
  <c r="G35" i="3"/>
  <c r="G23" i="3"/>
  <c r="G11" i="3"/>
  <c r="G56" i="3"/>
  <c r="G44" i="3"/>
  <c r="G32" i="3"/>
  <c r="G20" i="3"/>
  <c r="G8" i="3"/>
  <c r="J55" i="5"/>
  <c r="J53" i="5"/>
  <c r="J44" i="5"/>
  <c r="G58" i="3"/>
  <c r="G46" i="3"/>
  <c r="G34" i="3"/>
  <c r="G22" i="3"/>
  <c r="G10" i="3"/>
  <c r="J43" i="5"/>
  <c r="I51" i="1"/>
  <c r="U51" i="1" s="1"/>
  <c r="E51" i="3" s="1"/>
  <c r="G57" i="3"/>
  <c r="G45" i="3"/>
  <c r="H45" i="4" s="1"/>
  <c r="G33" i="3"/>
  <c r="G21" i="3"/>
  <c r="G9" i="3"/>
  <c r="G55" i="3"/>
  <c r="G43" i="3"/>
  <c r="G31" i="3"/>
  <c r="G19" i="3"/>
  <c r="G7" i="3"/>
  <c r="G54" i="3"/>
  <c r="G42" i="3"/>
  <c r="G30" i="3"/>
  <c r="G18" i="3"/>
  <c r="G6" i="3"/>
  <c r="G48" i="3"/>
  <c r="G52" i="3"/>
  <c r="G40" i="3"/>
  <c r="G28" i="3"/>
  <c r="G16" i="3"/>
  <c r="G4" i="3"/>
  <c r="I57" i="1"/>
  <c r="U57" i="1" s="1"/>
  <c r="E57" i="3" s="1"/>
  <c r="I45" i="1"/>
  <c r="G51" i="3"/>
  <c r="H51" i="4" s="1"/>
  <c r="G39" i="3"/>
  <c r="G27" i="3"/>
  <c r="G15" i="3"/>
  <c r="G3" i="3"/>
  <c r="J56" i="5"/>
  <c r="J54" i="5"/>
  <c r="J42" i="5"/>
  <c r="J52" i="5"/>
  <c r="J51" i="5"/>
  <c r="J50" i="5"/>
  <c r="J49" i="5"/>
  <c r="J60" i="5"/>
  <c r="J48" i="5"/>
  <c r="J59" i="5"/>
  <c r="J47" i="5"/>
  <c r="J58" i="5"/>
  <c r="J46" i="5"/>
  <c r="J57" i="5"/>
  <c r="J45" i="5"/>
  <c r="V13" i="1"/>
  <c r="V49" i="1"/>
  <c r="V59" i="1"/>
  <c r="V47" i="1"/>
  <c r="V35" i="1"/>
  <c r="V23" i="1"/>
  <c r="V11" i="1"/>
  <c r="G13" i="3"/>
  <c r="V58" i="1"/>
  <c r="V46" i="1"/>
  <c r="V34" i="1"/>
  <c r="V22" i="1"/>
  <c r="V10" i="1"/>
  <c r="V25" i="1"/>
  <c r="F15" i="3"/>
  <c r="F3" i="3"/>
  <c r="V57" i="1"/>
  <c r="V45" i="1"/>
  <c r="V33" i="1"/>
  <c r="V21" i="1"/>
  <c r="V9" i="1"/>
  <c r="V37" i="1"/>
  <c r="F14" i="3"/>
  <c r="G2" i="3"/>
  <c r="H2" i="4" s="1"/>
  <c r="V56" i="1"/>
  <c r="V44" i="1"/>
  <c r="V32" i="1"/>
  <c r="V20" i="1"/>
  <c r="V8" i="1"/>
  <c r="G49" i="3"/>
  <c r="D50" i="3"/>
  <c r="F50" i="5" s="1"/>
  <c r="F50" i="6" s="1"/>
  <c r="G50" i="6" s="1"/>
  <c r="D38" i="3"/>
  <c r="F38" i="5" s="1"/>
  <c r="D26" i="3"/>
  <c r="F26" i="5" s="1"/>
  <c r="D14" i="3"/>
  <c r="F14" i="5" s="1"/>
  <c r="F51" i="3"/>
  <c r="G51" i="4" s="1"/>
  <c r="F39" i="3"/>
  <c r="F27" i="3"/>
  <c r="V55" i="1"/>
  <c r="V43" i="1"/>
  <c r="V31" i="1"/>
  <c r="V19" i="1"/>
  <c r="V7" i="1"/>
  <c r="G25" i="3"/>
  <c r="D13" i="3"/>
  <c r="F13" i="5" s="1"/>
  <c r="F50" i="3"/>
  <c r="F38" i="3"/>
  <c r="V54" i="1"/>
  <c r="V42" i="1"/>
  <c r="V30" i="1"/>
  <c r="V18" i="1"/>
  <c r="V6" i="1"/>
  <c r="G37" i="3"/>
  <c r="D60" i="3"/>
  <c r="F60" i="5" s="1"/>
  <c r="F60" i="6" s="1"/>
  <c r="G60" i="6" s="1"/>
  <c r="D48" i="3"/>
  <c r="F48" i="5" s="1"/>
  <c r="F48" i="6" s="1"/>
  <c r="G48" i="6" s="1"/>
  <c r="D36" i="3"/>
  <c r="F36" i="5" s="1"/>
  <c r="F36" i="6" s="1"/>
  <c r="D24" i="3"/>
  <c r="F24" i="5" s="1"/>
  <c r="D12" i="3"/>
  <c r="F12" i="5" s="1"/>
  <c r="F49" i="3"/>
  <c r="F37" i="3"/>
  <c r="F25" i="3"/>
  <c r="F11" i="3"/>
  <c r="F2" i="3"/>
  <c r="G2" i="4" s="1"/>
  <c r="V53" i="1"/>
  <c r="V41" i="1"/>
  <c r="V29" i="1"/>
  <c r="V17" i="1"/>
  <c r="V5" i="1"/>
  <c r="V52" i="1"/>
  <c r="V40" i="1"/>
  <c r="V28" i="1"/>
  <c r="V16" i="1"/>
  <c r="V4" i="1"/>
  <c r="V51" i="1"/>
  <c r="V39" i="1"/>
  <c r="V27" i="1"/>
  <c r="V15" i="1"/>
  <c r="V3" i="1"/>
  <c r="D59" i="3"/>
  <c r="F59" i="5" s="1"/>
  <c r="F59" i="6" s="1"/>
  <c r="G59" i="6" s="1"/>
  <c r="D47" i="3"/>
  <c r="F47" i="5" s="1"/>
  <c r="F47" i="6" s="1"/>
  <c r="G47" i="6" s="1"/>
  <c r="D35" i="3"/>
  <c r="F35" i="5" s="1"/>
  <c r="D23" i="3"/>
  <c r="F23" i="5" s="1"/>
  <c r="D11" i="3"/>
  <c r="F11" i="5" s="1"/>
  <c r="F60" i="3"/>
  <c r="I60" i="5" s="1"/>
  <c r="F48" i="3"/>
  <c r="G48" i="4" s="1"/>
  <c r="F36" i="3"/>
  <c r="F24" i="3"/>
  <c r="F10" i="3"/>
  <c r="F59" i="3"/>
  <c r="F47" i="3"/>
  <c r="F35" i="3"/>
  <c r="F21" i="3"/>
  <c r="F9" i="3"/>
  <c r="F58" i="3"/>
  <c r="F46" i="3"/>
  <c r="F34" i="3"/>
  <c r="F20" i="3"/>
  <c r="F8" i="3"/>
  <c r="I48" i="1"/>
  <c r="F57" i="3"/>
  <c r="F45" i="3"/>
  <c r="F33" i="3"/>
  <c r="F19" i="3"/>
  <c r="F7" i="3"/>
  <c r="F56" i="3"/>
  <c r="F44" i="3"/>
  <c r="F32" i="3"/>
  <c r="F18" i="3"/>
  <c r="F6" i="3"/>
  <c r="F55" i="3"/>
  <c r="F43" i="3"/>
  <c r="F31" i="3"/>
  <c r="F17" i="3"/>
  <c r="F5" i="3"/>
  <c r="F54" i="3"/>
  <c r="F42" i="3"/>
  <c r="F30" i="3"/>
  <c r="F16" i="3"/>
  <c r="F4" i="3"/>
  <c r="F23" i="3"/>
  <c r="F53" i="3"/>
  <c r="F41" i="3"/>
  <c r="F29" i="3"/>
  <c r="F22" i="3"/>
  <c r="F52" i="3"/>
  <c r="F40" i="3"/>
  <c r="F28" i="3"/>
  <c r="F13" i="3"/>
  <c r="D49" i="3"/>
  <c r="D37" i="3"/>
  <c r="F37" i="5" s="1"/>
  <c r="D25" i="3"/>
  <c r="F12" i="3"/>
  <c r="D2" i="3"/>
  <c r="I50" i="1"/>
  <c r="S50" i="1" s="1"/>
  <c r="D58" i="3"/>
  <c r="F58" i="5" s="1"/>
  <c r="F58" i="6" s="1"/>
  <c r="G58" i="6" s="1"/>
  <c r="D46" i="3"/>
  <c r="D34" i="3"/>
  <c r="F34" i="5" s="1"/>
  <c r="F34" i="6" s="1"/>
  <c r="D22" i="3"/>
  <c r="F22" i="5" s="1"/>
  <c r="I2" i="1"/>
  <c r="U2" i="1" s="1"/>
  <c r="E2" i="3" s="1"/>
  <c r="D57" i="3"/>
  <c r="F57" i="5" s="1"/>
  <c r="F57" i="6" s="1"/>
  <c r="G57" i="6" s="1"/>
  <c r="D45" i="3"/>
  <c r="D33" i="3"/>
  <c r="F33" i="5" s="1"/>
  <c r="F33" i="6" s="1"/>
  <c r="D21" i="3"/>
  <c r="D56" i="3"/>
  <c r="D44" i="3"/>
  <c r="D32" i="3"/>
  <c r="D20" i="3"/>
  <c r="D10" i="3"/>
  <c r="F10" i="5" s="1"/>
  <c r="D55" i="3"/>
  <c r="F55" i="5" s="1"/>
  <c r="F55" i="6" s="1"/>
  <c r="G55" i="6" s="1"/>
  <c r="D43" i="3"/>
  <c r="F43" i="5" s="1"/>
  <c r="F43" i="6" s="1"/>
  <c r="G43" i="6" s="1"/>
  <c r="D31" i="3"/>
  <c r="D19" i="3"/>
  <c r="D9" i="3"/>
  <c r="F9" i="5" s="1"/>
  <c r="D54" i="3"/>
  <c r="D42" i="3"/>
  <c r="D30" i="3"/>
  <c r="D18" i="3"/>
  <c r="F18" i="5" s="1"/>
  <c r="D8" i="3"/>
  <c r="F8" i="5" s="1"/>
  <c r="D41" i="3"/>
  <c r="F41" i="5" s="1"/>
  <c r="D17" i="3"/>
  <c r="F17" i="5" s="1"/>
  <c r="D7" i="3"/>
  <c r="F7" i="5" s="1"/>
  <c r="D40" i="3"/>
  <c r="F40" i="5" s="1"/>
  <c r="F40" i="6" s="1"/>
  <c r="D28" i="3"/>
  <c r="F28" i="5" s="1"/>
  <c r="F28" i="6" s="1"/>
  <c r="D16" i="3"/>
  <c r="F16" i="5" s="1"/>
  <c r="D6" i="3"/>
  <c r="F6" i="5" s="1"/>
  <c r="D39" i="3"/>
  <c r="F39" i="5" s="1"/>
  <c r="F39" i="6" s="1"/>
  <c r="D27" i="3"/>
  <c r="D15" i="3"/>
  <c r="F15" i="5" s="1"/>
  <c r="D4" i="3"/>
  <c r="F4" i="5" s="1"/>
  <c r="D5" i="3"/>
  <c r="D3" i="3"/>
  <c r="F3" i="5" s="1"/>
  <c r="I53" i="1"/>
  <c r="U53" i="1" s="1"/>
  <c r="E53" i="3" s="1"/>
  <c r="H60" i="4"/>
  <c r="H48" i="4"/>
  <c r="H36" i="4"/>
  <c r="I49" i="1"/>
  <c r="U49" i="1" s="1"/>
  <c r="E49" i="3" s="1"/>
  <c r="I13" i="1"/>
  <c r="D53" i="3"/>
  <c r="D29" i="3"/>
  <c r="F29" i="5" s="1"/>
  <c r="F41" i="6"/>
  <c r="G41" i="6" s="1"/>
  <c r="D52" i="3"/>
  <c r="D51" i="3"/>
  <c r="I41" i="1"/>
  <c r="U41" i="1" s="1"/>
  <c r="E41" i="3" s="1"/>
  <c r="H50" i="4"/>
  <c r="H38" i="4"/>
  <c r="H26" i="4"/>
  <c r="G50" i="4"/>
  <c r="H38" i="6"/>
  <c r="I26" i="5"/>
  <c r="I36" i="5"/>
  <c r="G24" i="4"/>
  <c r="F38" i="6"/>
  <c r="E38" i="4"/>
  <c r="E35" i="4"/>
  <c r="F35" i="6"/>
  <c r="H36" i="6"/>
  <c r="U48" i="1"/>
  <c r="E48" i="3" s="1"/>
  <c r="S48" i="1"/>
  <c r="G36" i="4"/>
  <c r="I55" i="1"/>
  <c r="S55" i="1" s="1"/>
  <c r="I43" i="1"/>
  <c r="S43" i="1" s="1"/>
  <c r="I19" i="1"/>
  <c r="U19" i="1" s="1"/>
  <c r="E19" i="3" s="1"/>
  <c r="I42" i="1"/>
  <c r="S42" i="1" s="1"/>
  <c r="I54" i="1"/>
  <c r="S54" i="1" s="1"/>
  <c r="I5" i="1"/>
  <c r="S5" i="1" s="1"/>
  <c r="I16" i="1"/>
  <c r="S16" i="1" s="1"/>
  <c r="I52" i="1"/>
  <c r="S52" i="1" s="1"/>
  <c r="I4" i="1"/>
  <c r="U4" i="1" s="1"/>
  <c r="E24" i="4"/>
  <c r="S53" i="1"/>
  <c r="I59" i="1"/>
  <c r="S59" i="1" s="1"/>
  <c r="I47" i="1"/>
  <c r="U47" i="1" s="1"/>
  <c r="E47" i="3" s="1"/>
  <c r="I11" i="1"/>
  <c r="S11" i="1" s="1"/>
  <c r="I9" i="1"/>
  <c r="U9" i="1" s="1"/>
  <c r="E9" i="3" s="1"/>
  <c r="I58" i="1"/>
  <c r="S58" i="1" s="1"/>
  <c r="I46" i="1"/>
  <c r="S46" i="1" s="1"/>
  <c r="I34" i="1"/>
  <c r="S34" i="1" s="1"/>
  <c r="I10" i="1"/>
  <c r="U10" i="1" s="1"/>
  <c r="E10" i="3" s="1"/>
  <c r="I56" i="1"/>
  <c r="U56" i="1" s="1"/>
  <c r="E56" i="3" s="1"/>
  <c r="I44" i="1"/>
  <c r="U44" i="1" s="1"/>
  <c r="E44" i="3" s="1"/>
  <c r="I8" i="1"/>
  <c r="S8" i="1" s="1"/>
  <c r="I6" i="1"/>
  <c r="S6" i="1" s="1"/>
  <c r="H59" i="4"/>
  <c r="H50" i="6"/>
  <c r="E26" i="4"/>
  <c r="F26" i="6"/>
  <c r="E23" i="4"/>
  <c r="F23" i="6"/>
  <c r="F22" i="6"/>
  <c r="S19" i="1"/>
  <c r="S45" i="1"/>
  <c r="U45" i="1"/>
  <c r="E45" i="3" s="1"/>
  <c r="S57" i="1"/>
  <c r="I29" i="1"/>
  <c r="S29" i="1" s="1"/>
  <c r="I15" i="1"/>
  <c r="U15" i="1" s="1"/>
  <c r="E15" i="3" s="1"/>
  <c r="I14" i="1"/>
  <c r="U14" i="1" s="1"/>
  <c r="E14" i="3" s="1"/>
  <c r="I30" i="1"/>
  <c r="S30" i="1" s="1"/>
  <c r="I12" i="1"/>
  <c r="S12" i="1" s="1"/>
  <c r="S49" i="1"/>
  <c r="I32" i="1"/>
  <c r="U32" i="1" s="1"/>
  <c r="E32" i="3" s="1"/>
  <c r="I20" i="1"/>
  <c r="S20" i="1" s="1"/>
  <c r="I18" i="1"/>
  <c r="U18" i="1" s="1"/>
  <c r="E18" i="3" s="1"/>
  <c r="I33" i="1"/>
  <c r="S33" i="1" s="1"/>
  <c r="I7" i="1"/>
  <c r="U7" i="1" s="1"/>
  <c r="I17" i="1"/>
  <c r="U17" i="1" s="1"/>
  <c r="E17" i="3" s="1"/>
  <c r="I26" i="1"/>
  <c r="S26" i="1" s="1"/>
  <c r="I24" i="1"/>
  <c r="U24" i="1" s="1"/>
  <c r="E24" i="3" s="1"/>
  <c r="I38" i="1"/>
  <c r="S38" i="1" s="1"/>
  <c r="I36" i="1"/>
  <c r="U36" i="1" s="1"/>
  <c r="E36" i="3" s="1"/>
  <c r="S13" i="1"/>
  <c r="U13" i="1"/>
  <c r="E13" i="3" s="1"/>
  <c r="I3" i="1"/>
  <c r="S3" i="1" s="1"/>
  <c r="I31" i="1"/>
  <c r="S31" i="1" s="1"/>
  <c r="H35" i="4"/>
  <c r="H23" i="4"/>
  <c r="H20" i="4"/>
  <c r="I35" i="1"/>
  <c r="U35" i="1" s="1"/>
  <c r="E35" i="3" s="1"/>
  <c r="I23" i="1"/>
  <c r="U23" i="1" s="1"/>
  <c r="E23" i="3" s="1"/>
  <c r="I22" i="1"/>
  <c r="S22" i="1" s="1"/>
  <c r="I21" i="1"/>
  <c r="S21" i="1" s="1"/>
  <c r="I40" i="1"/>
  <c r="U40" i="1" s="1"/>
  <c r="E40" i="3" s="1"/>
  <c r="I28" i="1"/>
  <c r="U28" i="1" s="1"/>
  <c r="E28" i="3" s="1"/>
  <c r="I39" i="1"/>
  <c r="U39" i="1" s="1"/>
  <c r="E39" i="3" s="1"/>
  <c r="I27" i="1"/>
  <c r="S27" i="1" s="1"/>
  <c r="I37" i="1"/>
  <c r="U37" i="1" s="1"/>
  <c r="E37" i="3" s="1"/>
  <c r="I25" i="1"/>
  <c r="S25" i="1" s="1"/>
  <c r="U50" i="1"/>
  <c r="E50" i="3" s="1"/>
  <c r="U54" i="1"/>
  <c r="E54" i="3" s="1"/>
  <c r="U42" i="1"/>
  <c r="E42" i="3" s="1"/>
  <c r="I60" i="1"/>
  <c r="E16" i="4"/>
  <c r="E14" i="4"/>
  <c r="F9" i="6"/>
  <c r="E7" i="4"/>
  <c r="E5" i="4"/>
  <c r="E37" i="4" l="1"/>
  <c r="U52" i="1"/>
  <c r="E52" i="3" s="1"/>
  <c r="E39" i="4"/>
  <c r="E33" i="4"/>
  <c r="S51" i="1"/>
  <c r="U29" i="1"/>
  <c r="E29" i="3" s="1"/>
  <c r="F57" i="4"/>
  <c r="G57" i="5"/>
  <c r="G49" i="5"/>
  <c r="F49" i="4"/>
  <c r="F54" i="4"/>
  <c r="G54" i="5"/>
  <c r="I35" i="6"/>
  <c r="F35" i="4"/>
  <c r="G35" i="5"/>
  <c r="U16" i="1"/>
  <c r="E16" i="3" s="1"/>
  <c r="I10" i="6"/>
  <c r="F10" i="4"/>
  <c r="G10" i="5"/>
  <c r="F53" i="5"/>
  <c r="F53" i="6" s="1"/>
  <c r="G53" i="6" s="1"/>
  <c r="F31" i="5"/>
  <c r="F31" i="6" s="1"/>
  <c r="G50" i="5"/>
  <c r="F50" i="4"/>
  <c r="G13" i="5"/>
  <c r="F13" i="4"/>
  <c r="I32" i="6"/>
  <c r="F32" i="4"/>
  <c r="G32" i="5"/>
  <c r="F45" i="4"/>
  <c r="G45" i="5"/>
  <c r="F46" i="5"/>
  <c r="F46" i="6" s="1"/>
  <c r="G46" i="6" s="1"/>
  <c r="F56" i="4"/>
  <c r="G56" i="5"/>
  <c r="E20" i="4"/>
  <c r="F20" i="5"/>
  <c r="F20" i="6" s="1"/>
  <c r="E28" i="4"/>
  <c r="F48" i="4"/>
  <c r="G48" i="5"/>
  <c r="F53" i="4"/>
  <c r="G53" i="5"/>
  <c r="E32" i="4"/>
  <c r="F32" i="5"/>
  <c r="F32" i="6" s="1"/>
  <c r="G2" i="5"/>
  <c r="F2" i="4"/>
  <c r="F18" i="4"/>
  <c r="G18" i="5"/>
  <c r="E36" i="4"/>
  <c r="I37" i="6"/>
  <c r="G37" i="5"/>
  <c r="F37" i="4"/>
  <c r="F41" i="4"/>
  <c r="G41" i="5"/>
  <c r="F44" i="5"/>
  <c r="F44" i="6" s="1"/>
  <c r="G44" i="6" s="1"/>
  <c r="F2" i="6"/>
  <c r="E2" i="4"/>
  <c r="F44" i="4"/>
  <c r="G44" i="5"/>
  <c r="I23" i="6"/>
  <c r="F23" i="4"/>
  <c r="G23" i="5"/>
  <c r="I36" i="6"/>
  <c r="J36" i="6" s="1"/>
  <c r="F36" i="4"/>
  <c r="G36" i="5"/>
  <c r="F24" i="4"/>
  <c r="F51" i="4"/>
  <c r="G51" i="5"/>
  <c r="E31" i="4"/>
  <c r="I9" i="6"/>
  <c r="F9" i="4"/>
  <c r="G9" i="5"/>
  <c r="F30" i="5"/>
  <c r="F30" i="6" s="1"/>
  <c r="F56" i="6"/>
  <c r="G56" i="6" s="1"/>
  <c r="F56" i="5"/>
  <c r="F52" i="4"/>
  <c r="G52" i="5"/>
  <c r="E3" i="4"/>
  <c r="I39" i="6"/>
  <c r="F39" i="4"/>
  <c r="G39" i="5"/>
  <c r="U8" i="1"/>
  <c r="E8" i="3" s="1"/>
  <c r="F19" i="4"/>
  <c r="G19" i="5"/>
  <c r="E34" i="4"/>
  <c r="E40" i="4"/>
  <c r="F51" i="5"/>
  <c r="F51" i="6" s="1"/>
  <c r="G51" i="6" s="1"/>
  <c r="F27" i="5"/>
  <c r="F27" i="6" s="1"/>
  <c r="F42" i="5"/>
  <c r="F42" i="6" s="1"/>
  <c r="G42" i="6" s="1"/>
  <c r="E21" i="4"/>
  <c r="F21" i="5"/>
  <c r="F21" i="6" s="1"/>
  <c r="E25" i="4"/>
  <c r="F25" i="5"/>
  <c r="F25" i="6" s="1"/>
  <c r="I29" i="6"/>
  <c r="F29" i="4"/>
  <c r="G29" i="5"/>
  <c r="F28" i="4"/>
  <c r="G28" i="5"/>
  <c r="F17" i="4"/>
  <c r="G17" i="5"/>
  <c r="G14" i="5"/>
  <c r="F14" i="4"/>
  <c r="U46" i="1"/>
  <c r="E46" i="3" s="1"/>
  <c r="F47" i="4"/>
  <c r="G47" i="5"/>
  <c r="F52" i="5"/>
  <c r="F52" i="6" s="1"/>
  <c r="G52" i="6" s="1"/>
  <c r="F54" i="5"/>
  <c r="F54" i="6" s="1"/>
  <c r="G54" i="6" s="1"/>
  <c r="I40" i="6"/>
  <c r="F40" i="4"/>
  <c r="G40" i="5"/>
  <c r="F15" i="4"/>
  <c r="G15" i="5"/>
  <c r="F45" i="5"/>
  <c r="F45" i="6" s="1"/>
  <c r="G45" i="6" s="1"/>
  <c r="F49" i="5"/>
  <c r="F49" i="6" s="1"/>
  <c r="G49" i="6" s="1"/>
  <c r="F42" i="4"/>
  <c r="G42" i="5"/>
  <c r="E22" i="4"/>
  <c r="E19" i="4"/>
  <c r="F19" i="5"/>
  <c r="F19" i="6" s="1"/>
  <c r="S2" i="1"/>
  <c r="H48" i="6"/>
  <c r="E27" i="4"/>
  <c r="I48" i="5"/>
  <c r="U33" i="1"/>
  <c r="E33" i="3" s="1"/>
  <c r="G60" i="4"/>
  <c r="U12" i="1"/>
  <c r="E12" i="3" s="1"/>
  <c r="I12" i="6" s="1"/>
  <c r="U34" i="1"/>
  <c r="E34" i="3" s="1"/>
  <c r="S15" i="1"/>
  <c r="U59" i="1"/>
  <c r="E59" i="3" s="1"/>
  <c r="S18" i="1"/>
  <c r="U30" i="1"/>
  <c r="E30" i="3" s="1"/>
  <c r="E30" i="4"/>
  <c r="U43" i="1"/>
  <c r="E43" i="3" s="1"/>
  <c r="I43" i="6" s="1"/>
  <c r="S14" i="1"/>
  <c r="U55" i="1"/>
  <c r="E55" i="3" s="1"/>
  <c r="I18" i="6"/>
  <c r="F29" i="6"/>
  <c r="I14" i="6"/>
  <c r="I50" i="6"/>
  <c r="S4" i="1"/>
  <c r="E29" i="4"/>
  <c r="H60" i="6"/>
  <c r="I56" i="6"/>
  <c r="I15" i="6"/>
  <c r="I52" i="6"/>
  <c r="I51" i="6"/>
  <c r="I49" i="6"/>
  <c r="I53" i="6"/>
  <c r="I2" i="6"/>
  <c r="S32" i="1"/>
  <c r="I16" i="6"/>
  <c r="I57" i="6"/>
  <c r="S44" i="1"/>
  <c r="H51" i="6"/>
  <c r="I42" i="6"/>
  <c r="I28" i="6"/>
  <c r="H19" i="4"/>
  <c r="U20" i="1"/>
  <c r="E20" i="3" s="1"/>
  <c r="I13" i="6"/>
  <c r="I45" i="6"/>
  <c r="S10" i="1"/>
  <c r="H24" i="6"/>
  <c r="I44" i="6"/>
  <c r="I17" i="6"/>
  <c r="I54" i="6"/>
  <c r="I48" i="6"/>
  <c r="I19" i="6"/>
  <c r="I51" i="5"/>
  <c r="S9" i="1"/>
  <c r="I47" i="6"/>
  <c r="I24" i="6"/>
  <c r="F37" i="6"/>
  <c r="S41" i="1"/>
  <c r="I41" i="6"/>
  <c r="H26" i="6"/>
  <c r="G26" i="4"/>
  <c r="I24" i="5"/>
  <c r="U58" i="1"/>
  <c r="E58" i="3" s="1"/>
  <c r="H57" i="4"/>
  <c r="I38" i="5"/>
  <c r="G58" i="4"/>
  <c r="G38" i="4"/>
  <c r="U5" i="1"/>
  <c r="E5" i="3" s="1"/>
  <c r="U6" i="1"/>
  <c r="U11" i="1"/>
  <c r="E11" i="3" s="1"/>
  <c r="I50" i="5"/>
  <c r="H46" i="4"/>
  <c r="I27" i="5"/>
  <c r="G27" i="4"/>
  <c r="H27" i="6"/>
  <c r="G39" i="4"/>
  <c r="I39" i="5"/>
  <c r="H39" i="6"/>
  <c r="J39" i="6" s="1"/>
  <c r="J36" i="5"/>
  <c r="H33" i="4"/>
  <c r="H30" i="4"/>
  <c r="H31" i="4"/>
  <c r="H32" i="4"/>
  <c r="H27" i="4"/>
  <c r="G22" i="4"/>
  <c r="H42" i="4"/>
  <c r="H43" i="4"/>
  <c r="H44" i="4"/>
  <c r="H39" i="4"/>
  <c r="H22" i="4"/>
  <c r="H47" i="4"/>
  <c r="H29" i="4"/>
  <c r="H54" i="4"/>
  <c r="H55" i="4"/>
  <c r="H56" i="4"/>
  <c r="H34" i="4"/>
  <c r="H25" i="4"/>
  <c r="H28" i="4"/>
  <c r="H41" i="4"/>
  <c r="H40" i="4"/>
  <c r="H53" i="4"/>
  <c r="H37" i="4"/>
  <c r="S56" i="1"/>
  <c r="S47" i="1"/>
  <c r="H58" i="4"/>
  <c r="H49" i="4"/>
  <c r="H52" i="4"/>
  <c r="S17" i="1"/>
  <c r="H21" i="4"/>
  <c r="S60" i="1"/>
  <c r="U60" i="1"/>
  <c r="E60" i="3" s="1"/>
  <c r="I19" i="5"/>
  <c r="H20" i="6"/>
  <c r="S7" i="1"/>
  <c r="E4" i="4"/>
  <c r="E17" i="4"/>
  <c r="H19" i="6"/>
  <c r="E6" i="4"/>
  <c r="E18" i="4"/>
  <c r="E15" i="4"/>
  <c r="E13" i="4"/>
  <c r="E12" i="4"/>
  <c r="G19" i="4"/>
  <c r="E11" i="4"/>
  <c r="E10" i="4"/>
  <c r="E9" i="4"/>
  <c r="E8" i="4"/>
  <c r="U38" i="1"/>
  <c r="E38" i="3" s="1"/>
  <c r="S36" i="1"/>
  <c r="U26" i="1"/>
  <c r="E26" i="3" s="1"/>
  <c r="S24" i="1"/>
  <c r="U3" i="1"/>
  <c r="E3" i="3" s="1"/>
  <c r="U31" i="1"/>
  <c r="E31" i="3" s="1"/>
  <c r="I20" i="5"/>
  <c r="S40" i="1"/>
  <c r="S39" i="1"/>
  <c r="S37" i="1"/>
  <c r="S35" i="1"/>
  <c r="S28" i="1"/>
  <c r="U25" i="1"/>
  <c r="E25" i="3" s="1"/>
  <c r="S23" i="1"/>
  <c r="U22" i="1"/>
  <c r="E22" i="3" s="1"/>
  <c r="U21" i="1"/>
  <c r="E21" i="3" s="1"/>
  <c r="U27" i="1"/>
  <c r="E27" i="3" s="1"/>
  <c r="E7" i="3"/>
  <c r="H18" i="4"/>
  <c r="E4" i="3"/>
  <c r="H7" i="4"/>
  <c r="H13" i="4"/>
  <c r="H8" i="4"/>
  <c r="H14" i="4"/>
  <c r="H3" i="4"/>
  <c r="H9" i="4"/>
  <c r="H15" i="4"/>
  <c r="H4" i="4"/>
  <c r="H10" i="4"/>
  <c r="H16" i="4"/>
  <c r="H11" i="4"/>
  <c r="H17" i="4"/>
  <c r="H5" i="4"/>
  <c r="H6" i="4"/>
  <c r="H12" i="4"/>
  <c r="J2" i="5" l="1"/>
  <c r="I4" i="6"/>
  <c r="F4" i="4"/>
  <c r="G4" i="5"/>
  <c r="F20" i="4"/>
  <c r="G20" i="5"/>
  <c r="I55" i="6"/>
  <c r="F55" i="4"/>
  <c r="G55" i="5"/>
  <c r="F16" i="4"/>
  <c r="G16" i="5"/>
  <c r="F60" i="4"/>
  <c r="G60" i="5"/>
  <c r="F58" i="4"/>
  <c r="G58" i="5"/>
  <c r="I27" i="6"/>
  <c r="F27" i="4"/>
  <c r="G27" i="5"/>
  <c r="I3" i="6"/>
  <c r="F3" i="4"/>
  <c r="G3" i="5"/>
  <c r="F46" i="4"/>
  <c r="G46" i="5"/>
  <c r="I8" i="6"/>
  <c r="F8" i="4"/>
  <c r="G8" i="5"/>
  <c r="I30" i="6"/>
  <c r="F30" i="4"/>
  <c r="G30" i="5"/>
  <c r="I33" i="6"/>
  <c r="F33" i="4"/>
  <c r="G33" i="5"/>
  <c r="I21" i="6"/>
  <c r="F21" i="4"/>
  <c r="G21" i="5"/>
  <c r="I22" i="6"/>
  <c r="F22" i="4"/>
  <c r="G22" i="5"/>
  <c r="I26" i="6"/>
  <c r="G26" i="5"/>
  <c r="F26" i="4"/>
  <c r="I46" i="6"/>
  <c r="I31" i="6"/>
  <c r="F31" i="4"/>
  <c r="G31" i="5"/>
  <c r="J19" i="6"/>
  <c r="I11" i="6"/>
  <c r="F11" i="4"/>
  <c r="G11" i="5"/>
  <c r="F59" i="4"/>
  <c r="G59" i="5"/>
  <c r="I7" i="6"/>
  <c r="F7" i="4"/>
  <c r="G7" i="5"/>
  <c r="F43" i="4"/>
  <c r="G43" i="5"/>
  <c r="I25" i="6"/>
  <c r="G25" i="5"/>
  <c r="J25" i="5" s="1"/>
  <c r="F25" i="4"/>
  <c r="I38" i="6"/>
  <c r="J38" i="6" s="1"/>
  <c r="G38" i="5"/>
  <c r="J38" i="5" s="1"/>
  <c r="F38" i="4"/>
  <c r="I5" i="6"/>
  <c r="F5" i="4"/>
  <c r="I34" i="6"/>
  <c r="F34" i="4"/>
  <c r="G34" i="5"/>
  <c r="F12" i="4"/>
  <c r="G12" i="5"/>
  <c r="J39" i="5"/>
  <c r="I59" i="6"/>
  <c r="J20" i="5"/>
  <c r="J19" i="5"/>
  <c r="H16" i="6"/>
  <c r="I60" i="6"/>
  <c r="I58" i="6"/>
  <c r="H58" i="6"/>
  <c r="J27" i="6"/>
  <c r="I20" i="6"/>
  <c r="J20" i="6" s="1"/>
  <c r="J26" i="6"/>
  <c r="H17" i="6"/>
  <c r="I58" i="5"/>
  <c r="F10" i="6"/>
  <c r="F24" i="6"/>
  <c r="J24" i="6" s="1"/>
  <c r="J24" i="5"/>
  <c r="F12" i="6"/>
  <c r="F7" i="6"/>
  <c r="F16" i="6"/>
  <c r="J16" i="6" s="1"/>
  <c r="F17" i="6"/>
  <c r="F18" i="6"/>
  <c r="F13" i="6"/>
  <c r="F8" i="6"/>
  <c r="F15" i="6"/>
  <c r="F4" i="6"/>
  <c r="F6" i="6"/>
  <c r="F14" i="6"/>
  <c r="F3" i="6"/>
  <c r="F11" i="6"/>
  <c r="F5" i="6"/>
  <c r="H8" i="6"/>
  <c r="G53" i="4"/>
  <c r="I53" i="5"/>
  <c r="H53" i="6"/>
  <c r="G52" i="4"/>
  <c r="I52" i="5"/>
  <c r="H52" i="6"/>
  <c r="J27" i="5"/>
  <c r="G25" i="4"/>
  <c r="I25" i="5"/>
  <c r="H25" i="6"/>
  <c r="H4" i="6"/>
  <c r="G23" i="4"/>
  <c r="I23" i="5"/>
  <c r="J23" i="5" s="1"/>
  <c r="H23" i="6"/>
  <c r="J23" i="6" s="1"/>
  <c r="G45" i="4"/>
  <c r="I45" i="5"/>
  <c r="H45" i="6"/>
  <c r="G33" i="4"/>
  <c r="I33" i="5"/>
  <c r="J33" i="5" s="1"/>
  <c r="H33" i="6"/>
  <c r="J33" i="6" s="1"/>
  <c r="G46" i="4"/>
  <c r="I46" i="5"/>
  <c r="H46" i="6"/>
  <c r="G28" i="4"/>
  <c r="I28" i="5"/>
  <c r="J28" i="5" s="1"/>
  <c r="H28" i="6"/>
  <c r="J28" i="6" s="1"/>
  <c r="I56" i="5"/>
  <c r="H56" i="6"/>
  <c r="G56" i="4"/>
  <c r="I44" i="5"/>
  <c r="H44" i="6"/>
  <c r="G44" i="4"/>
  <c r="I22" i="5"/>
  <c r="H22" i="6"/>
  <c r="G49" i="4"/>
  <c r="I49" i="5"/>
  <c r="H49" i="6"/>
  <c r="I54" i="5"/>
  <c r="G54" i="4"/>
  <c r="H54" i="6"/>
  <c r="I55" i="5"/>
  <c r="G55" i="4"/>
  <c r="H55" i="6"/>
  <c r="G43" i="4"/>
  <c r="I43" i="5"/>
  <c r="H43" i="6"/>
  <c r="I40" i="5"/>
  <c r="J40" i="5" s="1"/>
  <c r="G40" i="4"/>
  <c r="H40" i="6"/>
  <c r="J40" i="6" s="1"/>
  <c r="I41" i="5"/>
  <c r="J41" i="5" s="1"/>
  <c r="G41" i="4"/>
  <c r="H41" i="6"/>
  <c r="J41" i="6" s="1"/>
  <c r="I30" i="5"/>
  <c r="J30" i="5" s="1"/>
  <c r="G30" i="4"/>
  <c r="H30" i="6"/>
  <c r="J30" i="6" s="1"/>
  <c r="J26" i="5"/>
  <c r="I57" i="5"/>
  <c r="G57" i="4"/>
  <c r="H57" i="6"/>
  <c r="G37" i="4"/>
  <c r="I37" i="5"/>
  <c r="J37" i="5" s="1"/>
  <c r="H37" i="6"/>
  <c r="J37" i="6" s="1"/>
  <c r="I42" i="5"/>
  <c r="G42" i="4"/>
  <c r="H42" i="6"/>
  <c r="G21" i="4"/>
  <c r="I21" i="5"/>
  <c r="H21" i="6"/>
  <c r="J21" i="6" s="1"/>
  <c r="G20" i="4"/>
  <c r="G29" i="4"/>
  <c r="I29" i="5"/>
  <c r="J29" i="5" s="1"/>
  <c r="H29" i="6"/>
  <c r="J29" i="6" s="1"/>
  <c r="G32" i="4"/>
  <c r="I32" i="5"/>
  <c r="J32" i="5" s="1"/>
  <c r="H32" i="6"/>
  <c r="J32" i="6" s="1"/>
  <c r="H10" i="6"/>
  <c r="G35" i="4"/>
  <c r="I35" i="5"/>
  <c r="J35" i="5" s="1"/>
  <c r="H35" i="6"/>
  <c r="J35" i="6" s="1"/>
  <c r="G59" i="4"/>
  <c r="I59" i="5"/>
  <c r="H59" i="6"/>
  <c r="G31" i="4"/>
  <c r="I31" i="5"/>
  <c r="H31" i="6"/>
  <c r="J31" i="6" s="1"/>
  <c r="G34" i="4"/>
  <c r="I34" i="5"/>
  <c r="J34" i="5" s="1"/>
  <c r="H34" i="6"/>
  <c r="J34" i="6" s="1"/>
  <c r="G47" i="4"/>
  <c r="I47" i="5"/>
  <c r="H47" i="6"/>
  <c r="H18" i="6"/>
  <c r="H11" i="6"/>
  <c r="G3" i="4"/>
  <c r="H3" i="6"/>
  <c r="I3" i="5"/>
  <c r="G7" i="4"/>
  <c r="I7" i="5"/>
  <c r="J7" i="5" s="1"/>
  <c r="H7" i="6"/>
  <c r="H12" i="6"/>
  <c r="H2" i="6"/>
  <c r="J2" i="6" s="1"/>
  <c r="H9" i="6"/>
  <c r="J9" i="6" s="1"/>
  <c r="G6" i="4"/>
  <c r="H6" i="6"/>
  <c r="I6" i="5"/>
  <c r="I5" i="5"/>
  <c r="J5" i="5" s="1"/>
  <c r="G5" i="4"/>
  <c r="H5" i="6"/>
  <c r="H15" i="6"/>
  <c r="H13" i="6"/>
  <c r="H14" i="6"/>
  <c r="G18" i="4"/>
  <c r="I18" i="5"/>
  <c r="G11" i="4"/>
  <c r="I11" i="5"/>
  <c r="G16" i="4"/>
  <c r="I16" i="5"/>
  <c r="G9" i="4"/>
  <c r="I9" i="5"/>
  <c r="G13" i="4"/>
  <c r="I13" i="5"/>
  <c r="J13" i="5" s="1"/>
  <c r="G17" i="4"/>
  <c r="I17" i="5"/>
  <c r="G15" i="4"/>
  <c r="I15" i="5"/>
  <c r="G10" i="4"/>
  <c r="I10" i="5"/>
  <c r="I12" i="5"/>
  <c r="J12" i="5" s="1"/>
  <c r="G12" i="4"/>
  <c r="G14" i="4"/>
  <c r="I14" i="5"/>
  <c r="G8" i="4"/>
  <c r="I8" i="5"/>
  <c r="J8" i="5" s="1"/>
  <c r="G4" i="4"/>
  <c r="I4" i="5"/>
  <c r="E6" i="3"/>
  <c r="I6" i="6" l="1"/>
  <c r="F6" i="4"/>
  <c r="G6" i="5"/>
  <c r="J22" i="6"/>
  <c r="J25" i="6"/>
  <c r="J16" i="5"/>
  <c r="J15" i="5"/>
  <c r="J13" i="6"/>
  <c r="J17" i="6"/>
  <c r="J4" i="5"/>
  <c r="J10" i="5"/>
  <c r="J18" i="5"/>
  <c r="J11" i="5"/>
  <c r="J14" i="5"/>
  <c r="J17" i="5"/>
  <c r="J3" i="6"/>
  <c r="J3" i="5"/>
  <c r="J22" i="5"/>
  <c r="J14" i="6"/>
  <c r="J18" i="6"/>
  <c r="J10" i="6"/>
  <c r="J6" i="6"/>
  <c r="J21" i="5"/>
  <c r="J31" i="5"/>
  <c r="J4" i="6"/>
  <c r="J9" i="5"/>
  <c r="J5" i="6"/>
  <c r="J15" i="6"/>
  <c r="J7" i="6"/>
  <c r="J11" i="6"/>
  <c r="J8" i="6"/>
  <c r="J12" i="6"/>
  <c r="J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<sst xmlns="http://schemas.openxmlformats.org/spreadsheetml/2006/main" count="963" uniqueCount="199">
  <si>
    <t>CAMPUS_ID</t>
    <phoneticPr fontId="1" type="noConversion"/>
  </si>
  <si>
    <t>Student_ID</t>
    <phoneticPr fontId="1" type="noConversion"/>
  </si>
  <si>
    <t>Name</t>
    <phoneticPr fontId="1" type="noConversion"/>
  </si>
  <si>
    <t>Program_Status</t>
    <phoneticPr fontId="1" type="noConversion"/>
  </si>
  <si>
    <t>Program</t>
    <phoneticPr fontId="1" type="noConversion"/>
  </si>
  <si>
    <t>Admint_Term</t>
    <phoneticPr fontId="1" type="noConversion"/>
  </si>
  <si>
    <t>Admission_Date</t>
  </si>
  <si>
    <t>AdmitTermBeginDate</t>
    <phoneticPr fontId="1" type="noConversion"/>
  </si>
  <si>
    <t>ExpectedEnd_StudyDate</t>
    <phoneticPr fontId="1" type="noConversion"/>
  </si>
  <si>
    <t>ExpectedGradTerm</t>
    <phoneticPr fontId="1" type="noConversion"/>
  </si>
  <si>
    <t>Campus</t>
    <phoneticPr fontId="1" type="noConversion"/>
  </si>
  <si>
    <t>Study_Method</t>
    <phoneticPr fontId="1" type="noConversion"/>
  </si>
  <si>
    <t>Prog_short_Des</t>
    <phoneticPr fontId="1" type="noConversion"/>
  </si>
  <si>
    <t>Program_Description</t>
    <phoneticPr fontId="1" type="noConversion"/>
  </si>
  <si>
    <t>Faculty_Description</t>
    <phoneticPr fontId="1" type="noConversion"/>
  </si>
  <si>
    <t>247R1</t>
    <phoneticPr fontId="1" type="noConversion"/>
  </si>
  <si>
    <t>250PA247R8</t>
    <phoneticPr fontId="1" type="noConversion"/>
  </si>
  <si>
    <t>USMAN YAU</t>
    <phoneticPr fontId="1" type="noConversion"/>
  </si>
  <si>
    <t>Active in Program</t>
    <phoneticPr fontId="1" type="noConversion"/>
  </si>
  <si>
    <t>MATR</t>
    <phoneticPr fontId="1" type="noConversion"/>
  </si>
  <si>
    <t>CYBER</t>
    <phoneticPr fontId="1" type="noConversion"/>
  </si>
  <si>
    <t>Full-Time</t>
    <phoneticPr fontId="1" type="noConversion"/>
  </si>
  <si>
    <t>Ph.D. (Eng)</t>
    <phoneticPr fontId="1" type="noConversion"/>
  </si>
  <si>
    <t>Doctor of Philosophy (Engineering)</t>
    <phoneticPr fontId="1" type="noConversion"/>
  </si>
  <si>
    <t>Faculty of AI and Engineering</t>
    <phoneticPr fontId="1" type="noConversion"/>
  </si>
  <si>
    <t>247R4</t>
    <phoneticPr fontId="1" type="noConversion"/>
  </si>
  <si>
    <t>250PA247R1</t>
    <phoneticPr fontId="1" type="noConversion"/>
  </si>
  <si>
    <t>KHAN IRFAN</t>
    <phoneticPr fontId="1" type="noConversion"/>
  </si>
  <si>
    <t>247R8</t>
    <phoneticPr fontId="1" type="noConversion"/>
  </si>
  <si>
    <t>250PA247R2</t>
    <phoneticPr fontId="1" type="noConversion"/>
  </si>
  <si>
    <t>JAYAKANTHAN A/L M. LACHMANAN</t>
    <phoneticPr fontId="1" type="noConversion"/>
  </si>
  <si>
    <t>247R3</t>
    <phoneticPr fontId="1" type="noConversion"/>
  </si>
  <si>
    <t>250PA247R5</t>
    <phoneticPr fontId="1" type="noConversion"/>
  </si>
  <si>
    <t>IDRIS OLALEKAN ADEOYE</t>
    <phoneticPr fontId="1" type="noConversion"/>
  </si>
  <si>
    <t>247R7</t>
    <phoneticPr fontId="1" type="noConversion"/>
  </si>
  <si>
    <t>250PA247R7</t>
    <phoneticPr fontId="1" type="noConversion"/>
  </si>
  <si>
    <t>NUHU DAN-AZUMI MUHAMMAD</t>
    <phoneticPr fontId="1" type="noConversion"/>
  </si>
  <si>
    <t>2508F</t>
    <phoneticPr fontId="1" type="noConversion"/>
  </si>
  <si>
    <t>250PA257R3</t>
    <phoneticPr fontId="1" type="noConversion"/>
  </si>
  <si>
    <t>NAZ ANUM</t>
    <phoneticPr fontId="1" type="noConversion"/>
  </si>
  <si>
    <t>243YN</t>
    <phoneticPr fontId="1" type="noConversion"/>
  </si>
  <si>
    <t>250PA237R1</t>
    <phoneticPr fontId="1" type="noConversion"/>
  </si>
  <si>
    <t>NUR SYAZA BINTI ZAKARIA</t>
    <phoneticPr fontId="1" type="noConversion"/>
  </si>
  <si>
    <t>251D4</t>
    <phoneticPr fontId="1" type="noConversion"/>
  </si>
  <si>
    <t>250PK242QD</t>
    <phoneticPr fontId="1" type="noConversion"/>
  </si>
  <si>
    <t>YANG XIAO</t>
    <phoneticPr fontId="1" type="noConversion"/>
  </si>
  <si>
    <t>Ph.D. (Communication)</t>
    <phoneticPr fontId="1" type="noConversion"/>
  </si>
  <si>
    <t>Doctor of Philosophy (Communication)</t>
  </si>
  <si>
    <t>Faculty of Applied Comm</t>
    <phoneticPr fontId="1" type="noConversion"/>
  </si>
  <si>
    <t>2458H</t>
    <phoneticPr fontId="1" type="noConversion"/>
  </si>
  <si>
    <t>250PK232QD</t>
    <phoneticPr fontId="1" type="noConversion"/>
  </si>
  <si>
    <t>MD MUSLIM UDDIN AHMED PIPUL</t>
    <phoneticPr fontId="1" type="noConversion"/>
  </si>
  <si>
    <t>252QD</t>
    <phoneticPr fontId="1" type="noConversion"/>
  </si>
  <si>
    <t>250PK222QD</t>
    <phoneticPr fontId="1" type="noConversion"/>
  </si>
  <si>
    <t>JOANNA A/P JAYAPRAKASH</t>
    <phoneticPr fontId="1" type="noConversion"/>
  </si>
  <si>
    <t>250PK212QD</t>
    <phoneticPr fontId="1" type="noConversion"/>
  </si>
  <si>
    <t>HAMZA BASHER ALAMIN BARKA</t>
    <phoneticPr fontId="1" type="noConversion"/>
  </si>
  <si>
    <t>250PK272QD</t>
    <phoneticPr fontId="1" type="noConversion"/>
  </si>
  <si>
    <t>NAHIDA FERDOUS</t>
    <phoneticPr fontId="1" type="noConversion"/>
  </si>
  <si>
    <t>250PK251QD</t>
    <phoneticPr fontId="1" type="noConversion"/>
  </si>
  <si>
    <t>NAHIDA ANUM</t>
    <phoneticPr fontId="1" type="noConversion"/>
  </si>
  <si>
    <t>245YK</t>
  </si>
  <si>
    <t>250PB252PD</t>
    <phoneticPr fontId="1" type="noConversion"/>
  </si>
  <si>
    <t>KHAN FERDOUS</t>
    <phoneticPr fontId="1" type="noConversion"/>
  </si>
  <si>
    <t>MLAKA</t>
  </si>
  <si>
    <t>Ph.D. (Mgmt.)</t>
    <phoneticPr fontId="1" type="noConversion"/>
  </si>
  <si>
    <t>Doctor of Philosophy (Management)</t>
    <phoneticPr fontId="1" type="noConversion"/>
  </si>
  <si>
    <t>Faculty of Business</t>
    <phoneticPr fontId="1" type="noConversion"/>
  </si>
  <si>
    <t>245ZK</t>
    <phoneticPr fontId="1" type="noConversion"/>
  </si>
  <si>
    <t>250PB244PD</t>
    <phoneticPr fontId="1" type="noConversion"/>
  </si>
  <si>
    <t>PUARA A/P LACHMANAN</t>
    <phoneticPr fontId="1" type="noConversion"/>
  </si>
  <si>
    <t>245RK</t>
    <phoneticPr fontId="1" type="noConversion"/>
  </si>
  <si>
    <t>250PB258PD</t>
    <phoneticPr fontId="1" type="noConversion"/>
  </si>
  <si>
    <t>YONG YU KIN</t>
    <phoneticPr fontId="1" type="noConversion"/>
  </si>
  <si>
    <t>250PB259PD</t>
    <phoneticPr fontId="1" type="noConversion"/>
  </si>
  <si>
    <t>WONG KIN HUAT</t>
    <phoneticPr fontId="1" type="noConversion"/>
  </si>
  <si>
    <t>Full-Time</t>
  </si>
  <si>
    <t>PPM_Jun2025</t>
    <phoneticPr fontId="1" type="noConversion"/>
  </si>
  <si>
    <t>PPM_Dec2025</t>
    <phoneticPr fontId="1" type="noConversion"/>
  </si>
  <si>
    <t>PPM_Jun2026</t>
    <phoneticPr fontId="1" type="noConversion"/>
  </si>
  <si>
    <t>PPM_Dec2026</t>
    <phoneticPr fontId="1" type="noConversion"/>
  </si>
  <si>
    <t>PPM_Jun2027</t>
    <phoneticPr fontId="1" type="noConversion"/>
  </si>
  <si>
    <t>PPM_Dec2027</t>
    <phoneticPr fontId="1" type="noConversion"/>
  </si>
  <si>
    <t>PPM_Jun2028</t>
    <phoneticPr fontId="1" type="noConversion"/>
  </si>
  <si>
    <t>PPM_Dec2028</t>
    <phoneticPr fontId="1" type="noConversion"/>
  </si>
  <si>
    <t>PPM_Jun2029</t>
    <phoneticPr fontId="1" type="noConversion"/>
  </si>
  <si>
    <t>PPM_Dec2029</t>
    <phoneticPr fontId="1" type="noConversion"/>
  </si>
  <si>
    <t>PPM_Jun2030</t>
    <phoneticPr fontId="1" type="noConversion"/>
  </si>
  <si>
    <t>PPM_Dec2030</t>
    <phoneticPr fontId="1" type="noConversion"/>
  </si>
  <si>
    <t>Mark_PPM</t>
    <phoneticPr fontId="1" type="noConversion"/>
  </si>
  <si>
    <t>Submition_RPD_Day</t>
    <phoneticPr fontId="1" type="noConversion"/>
  </si>
  <si>
    <t>ProgressSpeed_RPD</t>
    <phoneticPr fontId="1" type="noConversion"/>
  </si>
  <si>
    <t>Progress_GredThesisSeminar</t>
    <phoneticPr fontId="1" type="noConversion"/>
  </si>
  <si>
    <t>Mark_RPD</t>
    <phoneticPr fontId="1" type="noConversion"/>
  </si>
  <si>
    <t>Mark_ThesisSeminar</t>
    <phoneticPr fontId="1" type="noConversion"/>
  </si>
  <si>
    <t>Total_Gred</t>
    <phoneticPr fontId="1" type="noConversion"/>
  </si>
  <si>
    <t>Part-Time</t>
    <phoneticPr fontId="1" type="noConversion"/>
  </si>
  <si>
    <t>RPD_Status</t>
    <phoneticPr fontId="1" type="noConversion"/>
  </si>
  <si>
    <t>PPM_Status</t>
    <phoneticPr fontId="1" type="noConversion"/>
  </si>
  <si>
    <t>PublicationRequirement_Status</t>
    <phoneticPr fontId="1" type="noConversion"/>
  </si>
  <si>
    <t>ThesisSeminar_Status</t>
    <phoneticPr fontId="1" type="noConversion"/>
  </si>
  <si>
    <t>Graduate_status</t>
    <phoneticPr fontId="1" type="noConversion"/>
  </si>
  <si>
    <t>S</t>
    <phoneticPr fontId="1" type="noConversion"/>
  </si>
  <si>
    <t>NA</t>
    <phoneticPr fontId="1" type="noConversion"/>
  </si>
  <si>
    <t>US</t>
    <phoneticPr fontId="1" type="noConversion"/>
  </si>
  <si>
    <t>ThesisSem_StartDate</t>
    <phoneticPr fontId="1" type="noConversion"/>
  </si>
  <si>
    <t>ThesisSem_Day</t>
    <phoneticPr fontId="1" type="noConversion"/>
  </si>
  <si>
    <t>PPM_Jun2031</t>
    <phoneticPr fontId="1" type="noConversion"/>
  </si>
  <si>
    <t>PPM_Dec2031</t>
    <phoneticPr fontId="1" type="noConversion"/>
  </si>
  <si>
    <t>PPM_Jun2032</t>
    <phoneticPr fontId="1" type="noConversion"/>
  </si>
  <si>
    <t>PPM_Dec2032</t>
    <phoneticPr fontId="1" type="noConversion"/>
  </si>
  <si>
    <t>250PB260PD</t>
  </si>
  <si>
    <t>247R9</t>
    <phoneticPr fontId="1" type="noConversion"/>
  </si>
  <si>
    <t>243A9</t>
  </si>
  <si>
    <t>Mark_PublicationRequirement</t>
    <phoneticPr fontId="1" type="noConversion"/>
  </si>
  <si>
    <t>248RK</t>
  </si>
  <si>
    <t>249YH</t>
  </si>
  <si>
    <t>2468Z</t>
  </si>
  <si>
    <t>247JK</t>
  </si>
  <si>
    <t>245PL</t>
  </si>
  <si>
    <t>244XM</t>
  </si>
  <si>
    <t>2495N</t>
  </si>
  <si>
    <t>246ZP</t>
  </si>
  <si>
    <t>247QR</t>
  </si>
  <si>
    <t>248R7</t>
  </si>
  <si>
    <t>2458T</t>
  </si>
  <si>
    <t>2465K</t>
  </si>
  <si>
    <t>247ZK</t>
  </si>
  <si>
    <t>249PK</t>
  </si>
  <si>
    <t>243YK</t>
  </si>
  <si>
    <t>245MK</t>
  </si>
  <si>
    <t>248RM</t>
  </si>
  <si>
    <t>249RK</t>
  </si>
  <si>
    <t>247LH</t>
  </si>
  <si>
    <t>250PA213RK</t>
  </si>
  <si>
    <t>250PK245T1</t>
  </si>
  <si>
    <t>250PH272RM</t>
  </si>
  <si>
    <t>250PN281Q2</t>
  </si>
  <si>
    <t>250PM269QD</t>
  </si>
  <si>
    <t>250PJ258RD</t>
  </si>
  <si>
    <t>250PL293T1</t>
  </si>
  <si>
    <t>250PR241PD</t>
  </si>
  <si>
    <t>250PB237QK</t>
  </si>
  <si>
    <t>250PC276R2</t>
  </si>
  <si>
    <t>250PE261RJ</t>
  </si>
  <si>
    <t>250PG248PD</t>
  </si>
  <si>
    <t>250PH234RM</t>
  </si>
  <si>
    <t>250PJ285Q1</t>
  </si>
  <si>
    <t>250PK292RD</t>
  </si>
  <si>
    <t>250PL239R2</t>
  </si>
  <si>
    <t>250PN278QD</t>
  </si>
  <si>
    <t>250PR284PK</t>
  </si>
  <si>
    <t>250PS295RM</t>
  </si>
  <si>
    <t>250PT244R3</t>
  </si>
  <si>
    <t>250PS297RL</t>
    <phoneticPr fontId="1" type="noConversion"/>
  </si>
  <si>
    <t>WONG KANG JUN</t>
    <phoneticPr fontId="1" type="noConversion"/>
  </si>
  <si>
    <t xml:space="preserve">AHMAD FAISAL BIN YUSOF  </t>
  </si>
  <si>
    <t>HANG JIA YEE</t>
    <phoneticPr fontId="1" type="noConversion"/>
  </si>
  <si>
    <t xml:space="preserve">LEE KOK MING  </t>
  </si>
  <si>
    <t>SITI NUR AIN BINTI RAHMAN</t>
  </si>
  <si>
    <t xml:space="preserve">RAHUL KUMAR SINGH  </t>
  </si>
  <si>
    <t xml:space="preserve">CHAN WEI HONG  </t>
  </si>
  <si>
    <t xml:space="preserve">NURUL HUDA BINTI AZIZ  </t>
  </si>
  <si>
    <t xml:space="preserve">MOHAMMAD ALI KHAN </t>
  </si>
  <si>
    <t xml:space="preserve">TAN JIA WEI  </t>
  </si>
  <si>
    <t xml:space="preserve">FARHAN BIN ISMAIL  </t>
  </si>
  <si>
    <t>LIM PEI YEE</t>
  </si>
  <si>
    <t xml:space="preserve">RAJESH PRASAD  </t>
  </si>
  <si>
    <t xml:space="preserve">GOH MUN KIT  </t>
  </si>
  <si>
    <t xml:space="preserve">AISHA BINTI HASSAN  </t>
  </si>
  <si>
    <t xml:space="preserve">ONG JUN HAO  </t>
  </si>
  <si>
    <t xml:space="preserve">PRIYA DEVI NAIR  </t>
  </si>
  <si>
    <t xml:space="preserve">CHONG KAI LUN </t>
  </si>
  <si>
    <t xml:space="preserve">ABDUL RAHMAN BIN OTHMAN  </t>
  </si>
  <si>
    <t>YAP SIEW LING</t>
  </si>
  <si>
    <t xml:space="preserve">MIRA SHARMINA BINTI HAMZAH  </t>
  </si>
  <si>
    <t>KOH CHEE MING</t>
  </si>
  <si>
    <t>PublicationRequirement_paper2_Day（PHD）</t>
    <phoneticPr fontId="1" type="noConversion"/>
  </si>
  <si>
    <t>PublicationRequirement_paper1_Day（PHD/Master）</t>
    <phoneticPr fontId="1" type="noConversion"/>
  </si>
  <si>
    <t>Master (Mgmt)</t>
    <phoneticPr fontId="1" type="noConversion"/>
  </si>
  <si>
    <t>Master (Law)</t>
    <phoneticPr fontId="1" type="noConversion"/>
  </si>
  <si>
    <t>Doctor of Philosophy (Communication)</t>
    <phoneticPr fontId="1" type="noConversion"/>
  </si>
  <si>
    <t xml:space="preserve">Master of Laws </t>
    <phoneticPr fontId="1" type="noConversion"/>
  </si>
  <si>
    <t>Master of Philosophy in Communication</t>
    <phoneticPr fontId="1" type="noConversion"/>
  </si>
  <si>
    <t>Master (Communication)</t>
    <phoneticPr fontId="1" type="noConversion"/>
  </si>
  <si>
    <t>Master of Philosophy (Management)</t>
    <phoneticPr fontId="1" type="noConversion"/>
  </si>
  <si>
    <t>Faculty of Law</t>
    <phoneticPr fontId="1" type="noConversion"/>
  </si>
  <si>
    <t>ANG ANSON</t>
    <phoneticPr fontId="1" type="noConversion"/>
  </si>
  <si>
    <t>RPD_MAXDate</t>
    <phoneticPr fontId="1" type="noConversion"/>
  </si>
  <si>
    <t>ThesisSem_MAXDate</t>
    <phoneticPr fontId="1" type="noConversion"/>
  </si>
  <si>
    <t>PublicationRequirement_MAXDate</t>
    <phoneticPr fontId="1" type="noConversion"/>
  </si>
  <si>
    <t>RPD_ActualDate</t>
    <phoneticPr fontId="1" type="noConversion"/>
  </si>
  <si>
    <t>ThesisSem_ActualDate</t>
    <phoneticPr fontId="1" type="noConversion"/>
  </si>
  <si>
    <t>PublicationRequirement_Actual_paper1</t>
    <phoneticPr fontId="1" type="noConversion"/>
  </si>
  <si>
    <t>PublicationRequirement_Actual_paper2</t>
    <phoneticPr fontId="1" type="noConversion"/>
  </si>
  <si>
    <t>PublicationRequirement_paper1_ActualDay（PHD/Master）</t>
    <phoneticPr fontId="1" type="noConversion"/>
  </si>
  <si>
    <t>PublicationRequirement_paper2_ActualDay（PHD）</t>
    <phoneticPr fontId="1" type="noConversion"/>
  </si>
  <si>
    <t>RPD_RegisterDate</t>
    <phoneticPr fontId="1" type="noConversion"/>
  </si>
  <si>
    <t>Overall_Evaluation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</si>
</sst>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/m/yy"/>
  </numFmts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7AC7-1AC1-42F7-B4E7-98202871393E}">
  <dimension ref="A1:S41"/>
  <sheetViews>
    <sheetView topLeftCell="K1" workbookViewId="0">
      <selection activeCell="O2" sqref="O2"/>
    </sheetView>
  </sheetViews>
  <sheetFormatPr defaultRowHeight="13.8"/>
  <cols>
    <col min="2" max="2" width="15.109375" customWidth="1"/>
    <col min="3" max="3" width="35" customWidth="1"/>
    <col min="4" max="4" width="20.77734375" customWidth="1"/>
    <col min="5" max="5" width="18.21875" customWidth="1"/>
    <col min="6" max="6" width="14.6640625" customWidth="1"/>
    <col min="7" max="7" width="19.6640625" customWidth="1"/>
    <col min="8" max="8" width="19.5546875" customWidth="1"/>
    <col min="9" max="9" width="18.109375" customWidth="1"/>
    <col min="10" max="10" width="12.33203125" customWidth="1"/>
    <col min="11" max="11" width="17.109375" customWidth="1"/>
    <col min="12" max="12" width="27.109375" customWidth="1"/>
    <col min="13" max="13" width="36.88671875" customWidth="1"/>
    <col min="14" max="14" width="25.77734375" customWidth="1"/>
    <col min="15" max="15" width="21.6640625" customWidth="1"/>
    <col min="16" max="16" width="22.6640625" style="1" customWidth="1"/>
    <col min="17" max="17" width="21.5546875" style="5" customWidth="1"/>
    <col min="18" max="18" width="52.33203125" style="1" customWidth="1"/>
    <col min="19" max="19" width="44.88671875" style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197</v>
      </c>
      <c r="P1" s="1" t="s">
        <v>192</v>
      </c>
      <c r="Q1" s="2" t="s">
        <v>191</v>
      </c>
      <c r="R1" t="s">
        <v>195</v>
      </c>
      <c r="S1" t="s">
        <v>196</v>
      </c>
    </row>
    <row r="2" spans="1:19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2500</v>
      </c>
      <c r="G2" s="3">
        <v>45678</v>
      </c>
      <c r="H2" s="1">
        <v>45658</v>
      </c>
      <c r="I2" s="4">
        <v>3000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s="3">
        <v>45679</v>
      </c>
      <c r="P2" s="3">
        <v>47239</v>
      </c>
      <c r="Q2" s="3">
        <v>45841</v>
      </c>
      <c r="R2" s="1">
        <v>45682</v>
      </c>
      <c r="S2" s="1">
        <v>46245</v>
      </c>
    </row>
    <row r="3" spans="1:19">
      <c r="A3" t="s">
        <v>25</v>
      </c>
      <c r="B3" t="s">
        <v>26</v>
      </c>
      <c r="C3" t="s">
        <v>27</v>
      </c>
      <c r="D3" t="s">
        <v>18</v>
      </c>
      <c r="E3" t="s">
        <v>19</v>
      </c>
      <c r="F3">
        <v>2500</v>
      </c>
      <c r="G3" s="3">
        <v>45709</v>
      </c>
      <c r="H3" s="1">
        <v>45658</v>
      </c>
      <c r="I3" s="4">
        <v>3000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s="3">
        <v>45680</v>
      </c>
      <c r="P3" s="3">
        <v>47228</v>
      </c>
      <c r="Q3" s="3">
        <v>45872</v>
      </c>
      <c r="R3" s="1">
        <v>46237</v>
      </c>
      <c r="S3" s="1">
        <v>46246</v>
      </c>
    </row>
    <row r="4" spans="1:19">
      <c r="A4" t="s">
        <v>28</v>
      </c>
      <c r="B4" t="s">
        <v>29</v>
      </c>
      <c r="C4" t="s">
        <v>30</v>
      </c>
      <c r="D4" t="s">
        <v>18</v>
      </c>
      <c r="E4" t="s">
        <v>19</v>
      </c>
      <c r="F4">
        <v>2500</v>
      </c>
      <c r="G4" s="3">
        <v>45696</v>
      </c>
      <c r="H4" s="1">
        <v>45658</v>
      </c>
      <c r="I4" s="4">
        <v>3000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s="3">
        <v>45697</v>
      </c>
      <c r="P4" s="3">
        <v>47262</v>
      </c>
      <c r="Q4" s="3">
        <v>45873</v>
      </c>
      <c r="R4" s="1">
        <v>46206</v>
      </c>
      <c r="S4" s="1">
        <v>46215</v>
      </c>
    </row>
    <row r="5" spans="1:19">
      <c r="A5" t="s">
        <v>31</v>
      </c>
      <c r="B5" t="s">
        <v>32</v>
      </c>
      <c r="C5" t="s">
        <v>33</v>
      </c>
      <c r="D5" t="s">
        <v>18</v>
      </c>
      <c r="E5" t="s">
        <v>19</v>
      </c>
      <c r="F5">
        <v>2500</v>
      </c>
      <c r="G5" s="3">
        <v>45662</v>
      </c>
      <c r="H5" s="1">
        <v>45658</v>
      </c>
      <c r="I5" s="4">
        <v>3000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s="3">
        <v>45663</v>
      </c>
      <c r="P5" s="3">
        <v>47340</v>
      </c>
      <c r="Q5" s="3">
        <v>45875</v>
      </c>
      <c r="R5" s="1">
        <v>46239</v>
      </c>
      <c r="S5" s="1">
        <v>46248</v>
      </c>
    </row>
    <row r="6" spans="1:19">
      <c r="A6" t="s">
        <v>34</v>
      </c>
      <c r="B6" t="s">
        <v>35</v>
      </c>
      <c r="C6" t="s">
        <v>36</v>
      </c>
      <c r="D6" t="s">
        <v>18</v>
      </c>
      <c r="E6" t="s">
        <v>19</v>
      </c>
      <c r="F6">
        <v>2500</v>
      </c>
      <c r="G6" s="3">
        <v>45662</v>
      </c>
      <c r="H6" s="1">
        <v>45658</v>
      </c>
      <c r="I6" s="4">
        <v>3000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 s="3">
        <v>45663</v>
      </c>
      <c r="P6" s="3">
        <v>47346</v>
      </c>
      <c r="Q6" s="3">
        <v>45875</v>
      </c>
      <c r="R6" s="1">
        <v>46240</v>
      </c>
      <c r="S6" s="1">
        <v>46249</v>
      </c>
    </row>
    <row r="7" spans="1:19">
      <c r="A7" t="s">
        <v>37</v>
      </c>
      <c r="B7" t="s">
        <v>38</v>
      </c>
      <c r="C7" t="s">
        <v>39</v>
      </c>
      <c r="D7" t="s">
        <v>18</v>
      </c>
      <c r="E7" t="s">
        <v>19</v>
      </c>
      <c r="F7">
        <v>2500</v>
      </c>
      <c r="G7" s="3">
        <v>45661</v>
      </c>
      <c r="H7" s="1">
        <v>45658</v>
      </c>
      <c r="I7" s="4">
        <v>3000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  <c r="O7" s="3">
        <v>45662</v>
      </c>
      <c r="P7" s="3">
        <v>47342</v>
      </c>
      <c r="Q7" s="3">
        <v>45876</v>
      </c>
      <c r="R7" s="1">
        <v>46241</v>
      </c>
      <c r="S7" s="1">
        <v>46250</v>
      </c>
    </row>
    <row r="8" spans="1:19">
      <c r="A8" t="s">
        <v>40</v>
      </c>
      <c r="B8" t="s">
        <v>41</v>
      </c>
      <c r="C8" t="s">
        <v>42</v>
      </c>
      <c r="D8" t="s">
        <v>18</v>
      </c>
      <c r="E8" t="s">
        <v>19</v>
      </c>
      <c r="F8">
        <v>2500</v>
      </c>
      <c r="G8" s="3">
        <v>45695</v>
      </c>
      <c r="H8" s="1">
        <v>45658</v>
      </c>
      <c r="I8" s="4">
        <v>3000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s="3">
        <v>45696</v>
      </c>
      <c r="P8" s="3">
        <v>47496</v>
      </c>
      <c r="Q8" s="3">
        <v>46242</v>
      </c>
      <c r="R8" s="1">
        <v>46607</v>
      </c>
      <c r="S8" s="1">
        <v>46607</v>
      </c>
    </row>
    <row r="9" spans="1:19">
      <c r="A9" t="s">
        <v>43</v>
      </c>
      <c r="B9" t="s">
        <v>44</v>
      </c>
      <c r="C9" t="s">
        <v>45</v>
      </c>
      <c r="D9" t="s">
        <v>18</v>
      </c>
      <c r="E9" t="s">
        <v>19</v>
      </c>
      <c r="F9">
        <v>2500</v>
      </c>
      <c r="G9" s="3">
        <v>45738</v>
      </c>
      <c r="H9" s="1">
        <v>45658</v>
      </c>
      <c r="I9" s="4">
        <v>3000</v>
      </c>
      <c r="J9" t="s">
        <v>20</v>
      </c>
      <c r="K9" t="s">
        <v>21</v>
      </c>
      <c r="L9" t="s">
        <v>46</v>
      </c>
      <c r="M9" t="s">
        <v>47</v>
      </c>
      <c r="N9" t="s">
        <v>48</v>
      </c>
      <c r="O9" s="3">
        <v>45739</v>
      </c>
      <c r="P9" s="3">
        <v>47497</v>
      </c>
      <c r="Q9" s="3">
        <v>46121</v>
      </c>
      <c r="R9" s="1">
        <v>46608</v>
      </c>
      <c r="S9" s="1">
        <v>46610</v>
      </c>
    </row>
    <row r="10" spans="1:19">
      <c r="A10" t="s">
        <v>49</v>
      </c>
      <c r="B10" t="s">
        <v>50</v>
      </c>
      <c r="C10" t="s">
        <v>51</v>
      </c>
      <c r="D10" t="s">
        <v>18</v>
      </c>
      <c r="E10" t="s">
        <v>19</v>
      </c>
      <c r="F10">
        <v>2500</v>
      </c>
      <c r="G10" s="3">
        <v>45724</v>
      </c>
      <c r="H10" s="1">
        <v>45658</v>
      </c>
      <c r="I10" s="4">
        <v>3000</v>
      </c>
      <c r="J10" t="s">
        <v>20</v>
      </c>
      <c r="K10" t="s">
        <v>21</v>
      </c>
      <c r="L10" t="s">
        <v>46</v>
      </c>
      <c r="M10" t="s">
        <v>47</v>
      </c>
      <c r="N10" t="s">
        <v>48</v>
      </c>
      <c r="O10" s="3">
        <v>45725</v>
      </c>
      <c r="P10" s="3">
        <v>47498</v>
      </c>
      <c r="Q10" s="3">
        <v>46244</v>
      </c>
      <c r="R10" s="1">
        <v>46609</v>
      </c>
      <c r="S10" s="1">
        <v>46609</v>
      </c>
    </row>
    <row r="11" spans="1:19">
      <c r="A11" t="s">
        <v>52</v>
      </c>
      <c r="B11" t="s">
        <v>53</v>
      </c>
      <c r="C11" t="s">
        <v>54</v>
      </c>
      <c r="D11" t="s">
        <v>18</v>
      </c>
      <c r="E11" t="s">
        <v>19</v>
      </c>
      <c r="F11">
        <v>2500</v>
      </c>
      <c r="G11" s="3">
        <v>45704</v>
      </c>
      <c r="H11" s="1">
        <v>45658</v>
      </c>
      <c r="I11" s="4">
        <v>3000</v>
      </c>
      <c r="J11" t="s">
        <v>20</v>
      </c>
      <c r="K11" t="s">
        <v>21</v>
      </c>
      <c r="L11" t="s">
        <v>46</v>
      </c>
      <c r="M11" t="s">
        <v>47</v>
      </c>
      <c r="N11" t="s">
        <v>48</v>
      </c>
      <c r="O11" s="3">
        <v>45705</v>
      </c>
      <c r="P11" s="3">
        <v>47499</v>
      </c>
      <c r="Q11" s="3">
        <v>46245</v>
      </c>
      <c r="R11" s="1">
        <v>46610</v>
      </c>
      <c r="S11" s="1">
        <v>46610</v>
      </c>
    </row>
    <row r="12" spans="1:19">
      <c r="A12" t="s">
        <v>40</v>
      </c>
      <c r="B12" t="s">
        <v>55</v>
      </c>
      <c r="C12" t="s">
        <v>56</v>
      </c>
      <c r="D12" t="s">
        <v>18</v>
      </c>
      <c r="E12" t="s">
        <v>19</v>
      </c>
      <c r="F12">
        <v>2500</v>
      </c>
      <c r="G12" s="3">
        <v>45662</v>
      </c>
      <c r="H12" s="1">
        <v>45658</v>
      </c>
      <c r="I12" s="4">
        <v>3000</v>
      </c>
      <c r="J12" t="s">
        <v>20</v>
      </c>
      <c r="K12" t="s">
        <v>96</v>
      </c>
      <c r="L12" t="s">
        <v>46</v>
      </c>
      <c r="M12" t="s">
        <v>47</v>
      </c>
      <c r="N12" t="s">
        <v>48</v>
      </c>
      <c r="O12" s="3">
        <v>45663</v>
      </c>
      <c r="P12" s="3">
        <v>47225</v>
      </c>
      <c r="Q12" s="3">
        <v>45795</v>
      </c>
      <c r="R12" s="1">
        <v>45759</v>
      </c>
      <c r="S12" s="1">
        <v>45759</v>
      </c>
    </row>
    <row r="13" spans="1:19">
      <c r="A13" t="s">
        <v>34</v>
      </c>
      <c r="B13" t="s">
        <v>57</v>
      </c>
      <c r="C13" t="s">
        <v>58</v>
      </c>
      <c r="D13" t="s">
        <v>18</v>
      </c>
      <c r="E13" t="s">
        <v>19</v>
      </c>
      <c r="F13">
        <v>2500</v>
      </c>
      <c r="G13" s="3">
        <v>45695</v>
      </c>
      <c r="H13" s="1">
        <v>45658</v>
      </c>
      <c r="I13" s="4">
        <v>3000</v>
      </c>
      <c r="J13" t="s">
        <v>20</v>
      </c>
      <c r="K13" t="s">
        <v>96</v>
      </c>
      <c r="L13" t="s">
        <v>46</v>
      </c>
      <c r="M13" t="s">
        <v>47</v>
      </c>
      <c r="N13" t="s">
        <v>48</v>
      </c>
      <c r="O13" s="3">
        <v>45696</v>
      </c>
      <c r="P13" s="3">
        <v>47226</v>
      </c>
      <c r="Q13" s="3">
        <v>45765</v>
      </c>
      <c r="R13" s="1">
        <v>46125</v>
      </c>
      <c r="S13" s="1">
        <v>46135</v>
      </c>
    </row>
    <row r="14" spans="1:19">
      <c r="A14" t="s">
        <v>49</v>
      </c>
      <c r="B14" t="s">
        <v>59</v>
      </c>
      <c r="C14" t="s">
        <v>60</v>
      </c>
      <c r="D14" t="s">
        <v>18</v>
      </c>
      <c r="E14" t="s">
        <v>19</v>
      </c>
      <c r="F14">
        <v>2500</v>
      </c>
      <c r="G14" s="3">
        <v>45665</v>
      </c>
      <c r="H14" s="1">
        <v>45658</v>
      </c>
      <c r="I14" s="4">
        <v>3000</v>
      </c>
      <c r="J14" t="s">
        <v>20</v>
      </c>
      <c r="K14" t="s">
        <v>96</v>
      </c>
      <c r="L14" t="s">
        <v>46</v>
      </c>
      <c r="M14" t="s">
        <v>181</v>
      </c>
      <c r="N14" t="s">
        <v>48</v>
      </c>
      <c r="O14" s="3">
        <v>45665</v>
      </c>
      <c r="P14" s="3">
        <v>47196</v>
      </c>
      <c r="Q14" s="3">
        <v>45792</v>
      </c>
      <c r="R14" s="1">
        <v>45761</v>
      </c>
      <c r="S14" s="1">
        <v>45761</v>
      </c>
    </row>
    <row r="15" spans="1:19">
      <c r="A15" t="s">
        <v>61</v>
      </c>
      <c r="B15" t="s">
        <v>62</v>
      </c>
      <c r="C15" t="s">
        <v>63</v>
      </c>
      <c r="D15" t="s">
        <v>18</v>
      </c>
      <c r="E15" t="s">
        <v>19</v>
      </c>
      <c r="F15">
        <v>2500</v>
      </c>
      <c r="G15" s="3">
        <v>45685</v>
      </c>
      <c r="H15" s="1">
        <v>45658</v>
      </c>
      <c r="I15" s="4">
        <v>3000</v>
      </c>
      <c r="J15" t="s">
        <v>64</v>
      </c>
      <c r="K15" t="s">
        <v>96</v>
      </c>
      <c r="L15" t="s">
        <v>65</v>
      </c>
      <c r="M15" t="s">
        <v>66</v>
      </c>
      <c r="N15" t="s">
        <v>67</v>
      </c>
      <c r="O15" s="3">
        <v>45686</v>
      </c>
      <c r="P15" s="3">
        <v>48081</v>
      </c>
      <c r="Q15" s="3">
        <v>45884</v>
      </c>
      <c r="R15" s="1">
        <v>46249</v>
      </c>
      <c r="S15" s="1">
        <v>46280</v>
      </c>
    </row>
    <row r="16" spans="1:19">
      <c r="A16" t="s">
        <v>68</v>
      </c>
      <c r="B16" t="s">
        <v>69</v>
      </c>
      <c r="C16" t="s">
        <v>70</v>
      </c>
      <c r="D16" t="s">
        <v>18</v>
      </c>
      <c r="E16" t="s">
        <v>19</v>
      </c>
      <c r="F16">
        <v>2500</v>
      </c>
      <c r="G16" s="3">
        <v>45693</v>
      </c>
      <c r="H16" s="1">
        <v>45658</v>
      </c>
      <c r="I16" s="4">
        <v>3000</v>
      </c>
      <c r="J16" t="s">
        <v>64</v>
      </c>
      <c r="K16" t="s">
        <v>96</v>
      </c>
      <c r="L16" t="s">
        <v>65</v>
      </c>
      <c r="M16" t="s">
        <v>66</v>
      </c>
      <c r="N16" t="s">
        <v>67</v>
      </c>
      <c r="O16" s="3">
        <v>45694</v>
      </c>
      <c r="P16" s="3">
        <v>48081</v>
      </c>
      <c r="Q16" s="3">
        <v>45885</v>
      </c>
      <c r="R16" s="1">
        <v>46250</v>
      </c>
      <c r="S16" s="1">
        <v>46281</v>
      </c>
    </row>
    <row r="17" spans="1:19">
      <c r="A17" t="s">
        <v>71</v>
      </c>
      <c r="B17" t="s">
        <v>72</v>
      </c>
      <c r="C17" t="s">
        <v>73</v>
      </c>
      <c r="D17" t="s">
        <v>18</v>
      </c>
      <c r="E17" t="s">
        <v>19</v>
      </c>
      <c r="F17">
        <v>2500</v>
      </c>
      <c r="G17" s="3">
        <v>45696</v>
      </c>
      <c r="H17" s="1">
        <v>45658</v>
      </c>
      <c r="I17" s="4">
        <v>3000</v>
      </c>
      <c r="J17" t="s">
        <v>64</v>
      </c>
      <c r="K17" t="s">
        <v>96</v>
      </c>
      <c r="L17" t="s">
        <v>65</v>
      </c>
      <c r="M17" t="s">
        <v>66</v>
      </c>
      <c r="N17" t="s">
        <v>67</v>
      </c>
      <c r="O17" s="3">
        <v>45697</v>
      </c>
      <c r="P17" s="3">
        <v>48081</v>
      </c>
      <c r="Q17" s="3">
        <v>45886</v>
      </c>
      <c r="R17" s="1">
        <v>46251</v>
      </c>
      <c r="S17" s="1">
        <v>46312</v>
      </c>
    </row>
    <row r="18" spans="1:19">
      <c r="A18" t="s">
        <v>34</v>
      </c>
      <c r="B18" t="s">
        <v>74</v>
      </c>
      <c r="C18" t="s">
        <v>75</v>
      </c>
      <c r="D18" t="s">
        <v>18</v>
      </c>
      <c r="E18" t="s">
        <v>19</v>
      </c>
      <c r="F18">
        <v>2500</v>
      </c>
      <c r="G18" s="3">
        <v>45740</v>
      </c>
      <c r="H18" s="1">
        <v>45658</v>
      </c>
      <c r="I18" s="4">
        <v>3000</v>
      </c>
      <c r="J18" t="s">
        <v>64</v>
      </c>
      <c r="K18" t="s">
        <v>96</v>
      </c>
      <c r="L18" t="s">
        <v>65</v>
      </c>
      <c r="M18" t="s">
        <v>66</v>
      </c>
      <c r="N18" t="s">
        <v>67</v>
      </c>
      <c r="O18" s="3">
        <v>45741</v>
      </c>
      <c r="P18" s="3">
        <v>48236</v>
      </c>
      <c r="Q18" s="3">
        <v>46103</v>
      </c>
      <c r="R18" s="1">
        <v>46617</v>
      </c>
      <c r="S18" s="1">
        <v>46617</v>
      </c>
    </row>
    <row r="19" spans="1:19">
      <c r="A19" t="s">
        <v>28</v>
      </c>
      <c r="B19" t="s">
        <v>111</v>
      </c>
      <c r="C19" t="s">
        <v>155</v>
      </c>
      <c r="D19" t="s">
        <v>18</v>
      </c>
      <c r="E19" t="s">
        <v>19</v>
      </c>
      <c r="F19">
        <v>2500</v>
      </c>
      <c r="G19" s="3">
        <v>45740</v>
      </c>
      <c r="H19" s="1">
        <v>45658</v>
      </c>
      <c r="I19" s="4">
        <v>3000</v>
      </c>
      <c r="J19" t="s">
        <v>64</v>
      </c>
      <c r="K19" t="s">
        <v>96</v>
      </c>
      <c r="L19" t="s">
        <v>65</v>
      </c>
      <c r="M19" t="s">
        <v>66</v>
      </c>
      <c r="N19" t="s">
        <v>67</v>
      </c>
      <c r="O19" s="3">
        <v>45742</v>
      </c>
      <c r="P19" s="3">
        <v>48237</v>
      </c>
      <c r="Q19" s="3">
        <v>46104</v>
      </c>
      <c r="R19" s="1">
        <v>46618</v>
      </c>
      <c r="S19" s="1">
        <v>46618</v>
      </c>
    </row>
    <row r="20" spans="1:19">
      <c r="A20" t="s">
        <v>112</v>
      </c>
      <c r="B20" t="s">
        <v>134</v>
      </c>
      <c r="C20" t="s">
        <v>156</v>
      </c>
      <c r="D20" t="s">
        <v>18</v>
      </c>
      <c r="E20" t="s">
        <v>19</v>
      </c>
      <c r="F20">
        <v>2500</v>
      </c>
      <c r="G20" s="3">
        <v>45662</v>
      </c>
      <c r="H20" s="1">
        <v>45658</v>
      </c>
      <c r="I20" s="4">
        <v>3000</v>
      </c>
      <c r="J20" t="s">
        <v>64</v>
      </c>
      <c r="K20" t="s">
        <v>96</v>
      </c>
      <c r="L20" t="s">
        <v>65</v>
      </c>
      <c r="M20" t="s">
        <v>66</v>
      </c>
      <c r="N20" t="s">
        <v>67</v>
      </c>
      <c r="O20" s="3">
        <v>45663</v>
      </c>
      <c r="P20" s="3">
        <v>48238</v>
      </c>
      <c r="Q20" s="3">
        <v>46136</v>
      </c>
      <c r="R20" s="1">
        <v>46619</v>
      </c>
      <c r="S20" s="1">
        <v>46619</v>
      </c>
    </row>
    <row r="21" spans="1:19">
      <c r="A21" t="s">
        <v>113</v>
      </c>
      <c r="B21" t="s">
        <v>135</v>
      </c>
      <c r="C21" t="s">
        <v>157</v>
      </c>
      <c r="D21" t="s">
        <v>18</v>
      </c>
      <c r="E21" t="s">
        <v>19</v>
      </c>
      <c r="F21">
        <v>2500</v>
      </c>
      <c r="G21" s="3">
        <v>45663</v>
      </c>
      <c r="H21" s="1">
        <v>45658</v>
      </c>
      <c r="I21" s="4">
        <v>3000</v>
      </c>
      <c r="J21" t="s">
        <v>64</v>
      </c>
      <c r="K21" t="s">
        <v>76</v>
      </c>
      <c r="L21" t="s">
        <v>179</v>
      </c>
      <c r="M21" t="s">
        <v>185</v>
      </c>
      <c r="N21" t="s">
        <v>67</v>
      </c>
      <c r="O21" s="3">
        <v>45664</v>
      </c>
      <c r="P21" s="3">
        <v>46508</v>
      </c>
      <c r="Q21" s="3">
        <v>45768</v>
      </c>
      <c r="R21" s="1">
        <v>45828</v>
      </c>
    </row>
    <row r="22" spans="1:19">
      <c r="A22" t="s">
        <v>115</v>
      </c>
      <c r="B22" t="s">
        <v>136</v>
      </c>
      <c r="C22" t="s">
        <v>158</v>
      </c>
      <c r="D22" t="s">
        <v>18</v>
      </c>
      <c r="E22" t="s">
        <v>19</v>
      </c>
      <c r="F22">
        <v>2500</v>
      </c>
      <c r="G22" s="3">
        <v>45685</v>
      </c>
      <c r="H22" s="1">
        <v>45658</v>
      </c>
      <c r="I22" s="4">
        <v>3000</v>
      </c>
      <c r="J22" t="s">
        <v>64</v>
      </c>
      <c r="K22" t="s">
        <v>76</v>
      </c>
      <c r="L22" t="s">
        <v>179</v>
      </c>
      <c r="M22" t="s">
        <v>185</v>
      </c>
      <c r="N22" t="s">
        <v>67</v>
      </c>
      <c r="O22" s="3">
        <v>45686</v>
      </c>
      <c r="P22" s="3">
        <v>46532</v>
      </c>
      <c r="Q22" s="3">
        <v>45798</v>
      </c>
      <c r="R22" s="1">
        <v>45798</v>
      </c>
    </row>
    <row r="23" spans="1:19">
      <c r="A23" t="s">
        <v>116</v>
      </c>
      <c r="B23" t="s">
        <v>137</v>
      </c>
      <c r="C23" t="s">
        <v>159</v>
      </c>
      <c r="D23" t="s">
        <v>18</v>
      </c>
      <c r="E23" t="s">
        <v>19</v>
      </c>
      <c r="F23">
        <v>2500</v>
      </c>
      <c r="G23" s="3">
        <v>45686</v>
      </c>
      <c r="H23" s="1">
        <v>45658</v>
      </c>
      <c r="I23" s="4">
        <v>3000</v>
      </c>
      <c r="J23" t="s">
        <v>64</v>
      </c>
      <c r="K23" t="s">
        <v>76</v>
      </c>
      <c r="L23" t="s">
        <v>179</v>
      </c>
      <c r="M23" t="s">
        <v>185</v>
      </c>
      <c r="N23" t="s">
        <v>67</v>
      </c>
      <c r="O23" s="3">
        <v>45687</v>
      </c>
      <c r="P23" s="3">
        <v>46539</v>
      </c>
      <c r="Q23" s="3">
        <v>45798</v>
      </c>
      <c r="R23" s="1">
        <v>45830</v>
      </c>
    </row>
    <row r="24" spans="1:19">
      <c r="A24" t="s">
        <v>117</v>
      </c>
      <c r="B24" t="s">
        <v>138</v>
      </c>
      <c r="C24" t="s">
        <v>160</v>
      </c>
      <c r="D24" t="s">
        <v>18</v>
      </c>
      <c r="E24" t="s">
        <v>19</v>
      </c>
      <c r="F24">
        <v>2500</v>
      </c>
      <c r="G24" s="3">
        <v>45710</v>
      </c>
      <c r="H24" s="1">
        <v>45658</v>
      </c>
      <c r="I24" s="4">
        <v>3000</v>
      </c>
      <c r="J24" t="s">
        <v>64</v>
      </c>
      <c r="K24" t="s">
        <v>76</v>
      </c>
      <c r="L24" t="s">
        <v>179</v>
      </c>
      <c r="M24" t="s">
        <v>185</v>
      </c>
      <c r="N24" t="s">
        <v>67</v>
      </c>
      <c r="O24" s="3">
        <v>45711</v>
      </c>
      <c r="P24" s="3">
        <v>46631</v>
      </c>
      <c r="Q24" s="3">
        <v>45921</v>
      </c>
      <c r="R24" s="1">
        <v>45922</v>
      </c>
    </row>
    <row r="25" spans="1:19">
      <c r="A25" t="s">
        <v>118</v>
      </c>
      <c r="B25" t="s">
        <v>139</v>
      </c>
      <c r="C25" t="s">
        <v>161</v>
      </c>
      <c r="D25" t="s">
        <v>18</v>
      </c>
      <c r="E25" t="s">
        <v>19</v>
      </c>
      <c r="F25">
        <v>2500</v>
      </c>
      <c r="G25" s="3">
        <v>45711</v>
      </c>
      <c r="H25" s="1">
        <v>45658</v>
      </c>
      <c r="I25" s="4">
        <v>3000</v>
      </c>
      <c r="J25" t="s">
        <v>64</v>
      </c>
      <c r="K25" t="s">
        <v>76</v>
      </c>
      <c r="L25" t="s">
        <v>180</v>
      </c>
      <c r="M25" t="s">
        <v>182</v>
      </c>
      <c r="N25" t="s">
        <v>186</v>
      </c>
      <c r="O25" s="3">
        <v>45712</v>
      </c>
      <c r="P25" s="3">
        <v>46661</v>
      </c>
      <c r="Q25" s="3">
        <v>45890</v>
      </c>
      <c r="R25" s="1">
        <v>45931</v>
      </c>
    </row>
    <row r="26" spans="1:19">
      <c r="A26" t="s">
        <v>119</v>
      </c>
      <c r="B26" t="s">
        <v>140</v>
      </c>
      <c r="C26" t="s">
        <v>162</v>
      </c>
      <c r="D26" t="s">
        <v>18</v>
      </c>
      <c r="E26" t="s">
        <v>19</v>
      </c>
      <c r="F26">
        <v>2500</v>
      </c>
      <c r="G26" s="3">
        <v>45689</v>
      </c>
      <c r="H26" s="1">
        <v>45658</v>
      </c>
      <c r="I26" s="4">
        <v>3000</v>
      </c>
      <c r="J26" t="s">
        <v>64</v>
      </c>
      <c r="K26" t="s">
        <v>76</v>
      </c>
      <c r="L26" t="s">
        <v>180</v>
      </c>
      <c r="M26" t="s">
        <v>182</v>
      </c>
      <c r="N26" t="s">
        <v>186</v>
      </c>
      <c r="O26" s="3">
        <v>45690</v>
      </c>
      <c r="P26" s="3">
        <v>46692</v>
      </c>
      <c r="Q26" s="3">
        <v>45927</v>
      </c>
      <c r="R26" s="1">
        <v>45952</v>
      </c>
    </row>
    <row r="27" spans="1:19">
      <c r="A27" t="s">
        <v>120</v>
      </c>
      <c r="B27" t="s">
        <v>141</v>
      </c>
      <c r="C27" t="s">
        <v>163</v>
      </c>
      <c r="D27" t="s">
        <v>18</v>
      </c>
      <c r="E27" t="s">
        <v>19</v>
      </c>
      <c r="F27">
        <v>2500</v>
      </c>
      <c r="G27" s="3">
        <v>45690</v>
      </c>
      <c r="H27" s="1">
        <v>45658</v>
      </c>
      <c r="I27" s="4">
        <v>3000</v>
      </c>
      <c r="J27" t="s">
        <v>64</v>
      </c>
      <c r="K27" t="s">
        <v>76</v>
      </c>
      <c r="L27" t="s">
        <v>180</v>
      </c>
      <c r="M27" t="s">
        <v>182</v>
      </c>
      <c r="N27" t="s">
        <v>186</v>
      </c>
      <c r="O27" s="3">
        <v>45691</v>
      </c>
      <c r="P27" s="3">
        <v>46755</v>
      </c>
      <c r="Q27" s="3">
        <v>46059</v>
      </c>
      <c r="R27" s="1">
        <v>46154</v>
      </c>
    </row>
    <row r="28" spans="1:19">
      <c r="A28" t="s">
        <v>121</v>
      </c>
      <c r="B28" t="s">
        <v>142</v>
      </c>
      <c r="C28" t="s">
        <v>164</v>
      </c>
      <c r="D28" t="s">
        <v>18</v>
      </c>
      <c r="E28" t="s">
        <v>19</v>
      </c>
      <c r="F28">
        <v>2500</v>
      </c>
      <c r="G28" s="3">
        <v>45691</v>
      </c>
      <c r="H28" s="1">
        <v>45658</v>
      </c>
      <c r="I28" s="4">
        <v>3000</v>
      </c>
      <c r="J28" t="s">
        <v>64</v>
      </c>
      <c r="K28" t="s">
        <v>76</v>
      </c>
      <c r="L28" t="s">
        <v>180</v>
      </c>
      <c r="M28" t="s">
        <v>182</v>
      </c>
      <c r="N28" t="s">
        <v>186</v>
      </c>
      <c r="O28" s="3">
        <v>45692</v>
      </c>
      <c r="P28" s="3">
        <v>46760</v>
      </c>
      <c r="Q28" s="3">
        <v>46060</v>
      </c>
      <c r="R28" s="1">
        <v>46155</v>
      </c>
    </row>
    <row r="29" spans="1:19">
      <c r="A29" t="s">
        <v>122</v>
      </c>
      <c r="B29" t="s">
        <v>143</v>
      </c>
      <c r="C29" t="s">
        <v>165</v>
      </c>
      <c r="D29" t="s">
        <v>18</v>
      </c>
      <c r="E29" t="s">
        <v>19</v>
      </c>
      <c r="F29">
        <v>2500</v>
      </c>
      <c r="G29" s="3">
        <v>45671</v>
      </c>
      <c r="H29" s="1">
        <v>45658</v>
      </c>
      <c r="I29" s="4">
        <v>3000</v>
      </c>
      <c r="J29" t="s">
        <v>64</v>
      </c>
      <c r="K29" t="s">
        <v>76</v>
      </c>
      <c r="L29" t="s">
        <v>180</v>
      </c>
      <c r="M29" t="s">
        <v>182</v>
      </c>
      <c r="N29" t="s">
        <v>186</v>
      </c>
      <c r="O29" s="3">
        <v>45672</v>
      </c>
      <c r="P29" s="3">
        <v>46764</v>
      </c>
      <c r="Q29" s="3">
        <v>46061</v>
      </c>
      <c r="R29" s="1">
        <v>46135</v>
      </c>
    </row>
    <row r="30" spans="1:19">
      <c r="A30" t="s">
        <v>123</v>
      </c>
      <c r="B30" t="s">
        <v>144</v>
      </c>
      <c r="C30" t="s">
        <v>166</v>
      </c>
      <c r="D30" t="s">
        <v>18</v>
      </c>
      <c r="E30" t="s">
        <v>19</v>
      </c>
      <c r="F30">
        <v>2500</v>
      </c>
      <c r="G30" s="3">
        <v>45672</v>
      </c>
      <c r="H30" s="1">
        <v>45658</v>
      </c>
      <c r="I30" s="4">
        <v>3000</v>
      </c>
      <c r="J30" t="s">
        <v>64</v>
      </c>
      <c r="K30" t="s">
        <v>76</v>
      </c>
      <c r="L30" t="s">
        <v>179</v>
      </c>
      <c r="M30" t="s">
        <v>185</v>
      </c>
      <c r="N30" t="s">
        <v>67</v>
      </c>
      <c r="O30" s="3">
        <v>45673</v>
      </c>
      <c r="P30" s="3">
        <v>46770</v>
      </c>
      <c r="Q30" s="3">
        <v>46059</v>
      </c>
      <c r="R30" s="1">
        <v>46157</v>
      </c>
    </row>
    <row r="31" spans="1:19">
      <c r="A31" t="s">
        <v>124</v>
      </c>
      <c r="B31" t="s">
        <v>145</v>
      </c>
      <c r="C31" t="s">
        <v>167</v>
      </c>
      <c r="D31" t="s">
        <v>18</v>
      </c>
      <c r="E31" t="s">
        <v>19</v>
      </c>
      <c r="F31">
        <v>2500</v>
      </c>
      <c r="G31" s="3">
        <v>45673</v>
      </c>
      <c r="H31" s="1">
        <v>45658</v>
      </c>
      <c r="I31" s="4">
        <v>3000</v>
      </c>
      <c r="J31" t="s">
        <v>64</v>
      </c>
      <c r="K31" t="s">
        <v>96</v>
      </c>
      <c r="L31" t="s">
        <v>179</v>
      </c>
      <c r="M31" t="s">
        <v>185</v>
      </c>
      <c r="N31" t="s">
        <v>67</v>
      </c>
      <c r="O31" s="3">
        <v>45674</v>
      </c>
      <c r="P31" s="3">
        <v>47256</v>
      </c>
      <c r="Q31" s="3">
        <v>45753</v>
      </c>
      <c r="R31" s="1">
        <v>45828</v>
      </c>
    </row>
    <row r="32" spans="1:19">
      <c r="A32" t="s">
        <v>125</v>
      </c>
      <c r="B32" t="s">
        <v>146</v>
      </c>
      <c r="C32" t="s">
        <v>168</v>
      </c>
      <c r="D32" t="s">
        <v>18</v>
      </c>
      <c r="E32" t="s">
        <v>19</v>
      </c>
      <c r="F32">
        <v>2500</v>
      </c>
      <c r="G32" s="3">
        <v>45661</v>
      </c>
      <c r="H32" s="1">
        <v>45658</v>
      </c>
      <c r="I32" s="4">
        <v>3000</v>
      </c>
      <c r="J32" t="s">
        <v>64</v>
      </c>
      <c r="K32" t="s">
        <v>96</v>
      </c>
      <c r="L32" t="s">
        <v>179</v>
      </c>
      <c r="M32" t="s">
        <v>185</v>
      </c>
      <c r="N32" t="s">
        <v>67</v>
      </c>
      <c r="O32" s="3">
        <v>45662</v>
      </c>
      <c r="P32" s="3">
        <v>47287</v>
      </c>
      <c r="Q32" s="3">
        <v>45768</v>
      </c>
      <c r="R32" s="1">
        <v>45798</v>
      </c>
    </row>
    <row r="33" spans="1:18">
      <c r="A33" t="s">
        <v>126</v>
      </c>
      <c r="B33" t="s">
        <v>147</v>
      </c>
      <c r="C33" t="s">
        <v>169</v>
      </c>
      <c r="D33" t="s">
        <v>18</v>
      </c>
      <c r="E33" t="s">
        <v>19</v>
      </c>
      <c r="F33">
        <v>2500</v>
      </c>
      <c r="G33" s="3">
        <v>45709</v>
      </c>
      <c r="H33" s="1">
        <v>45658</v>
      </c>
      <c r="I33" s="4">
        <v>3000</v>
      </c>
      <c r="J33" t="s">
        <v>64</v>
      </c>
      <c r="K33" t="s">
        <v>96</v>
      </c>
      <c r="L33" t="s">
        <v>179</v>
      </c>
      <c r="M33" t="s">
        <v>185</v>
      </c>
      <c r="N33" t="s">
        <v>67</v>
      </c>
      <c r="O33" s="3">
        <v>45710</v>
      </c>
      <c r="P33" s="3">
        <v>47226</v>
      </c>
      <c r="Q33" s="3">
        <v>45747</v>
      </c>
      <c r="R33" s="1">
        <v>45830</v>
      </c>
    </row>
    <row r="34" spans="1:18">
      <c r="A34" t="s">
        <v>127</v>
      </c>
      <c r="B34" t="s">
        <v>148</v>
      </c>
      <c r="C34" t="s">
        <v>170</v>
      </c>
      <c r="D34" t="s">
        <v>18</v>
      </c>
      <c r="E34" t="s">
        <v>19</v>
      </c>
      <c r="F34">
        <v>2500</v>
      </c>
      <c r="G34" s="3">
        <v>45710</v>
      </c>
      <c r="H34" s="1">
        <v>45658</v>
      </c>
      <c r="I34" s="4">
        <v>3000</v>
      </c>
      <c r="J34" t="s">
        <v>64</v>
      </c>
      <c r="K34" t="s">
        <v>96</v>
      </c>
      <c r="L34" t="s">
        <v>180</v>
      </c>
      <c r="M34" t="s">
        <v>182</v>
      </c>
      <c r="N34" t="s">
        <v>186</v>
      </c>
      <c r="O34" s="3">
        <v>45711</v>
      </c>
      <c r="P34" s="3">
        <v>47348</v>
      </c>
      <c r="Q34" s="3">
        <v>45930</v>
      </c>
      <c r="R34" s="1">
        <v>45922</v>
      </c>
    </row>
    <row r="35" spans="1:18">
      <c r="A35" t="s">
        <v>128</v>
      </c>
      <c r="B35" t="s">
        <v>149</v>
      </c>
      <c r="C35" t="s">
        <v>171</v>
      </c>
      <c r="D35" t="s">
        <v>18</v>
      </c>
      <c r="E35" t="s">
        <v>19</v>
      </c>
      <c r="F35">
        <v>2500</v>
      </c>
      <c r="G35" s="3">
        <v>45664</v>
      </c>
      <c r="H35" s="1">
        <v>45658</v>
      </c>
      <c r="I35" s="4">
        <v>3000</v>
      </c>
      <c r="J35" t="s">
        <v>64</v>
      </c>
      <c r="K35" t="s">
        <v>96</v>
      </c>
      <c r="L35" t="s">
        <v>180</v>
      </c>
      <c r="M35" t="s">
        <v>182</v>
      </c>
      <c r="N35" t="s">
        <v>186</v>
      </c>
      <c r="O35" s="3">
        <v>45665</v>
      </c>
      <c r="P35" s="3">
        <v>47339</v>
      </c>
      <c r="Q35" s="3">
        <v>45931</v>
      </c>
      <c r="R35" s="1">
        <v>45931</v>
      </c>
    </row>
    <row r="36" spans="1:18">
      <c r="A36" t="s">
        <v>129</v>
      </c>
      <c r="B36" t="s">
        <v>150</v>
      </c>
      <c r="C36" t="s">
        <v>172</v>
      </c>
      <c r="D36" t="s">
        <v>18</v>
      </c>
      <c r="E36" t="s">
        <v>19</v>
      </c>
      <c r="F36">
        <v>2500</v>
      </c>
      <c r="G36" s="3">
        <v>45678</v>
      </c>
      <c r="H36" s="1">
        <v>45658</v>
      </c>
      <c r="I36" s="4">
        <v>3000</v>
      </c>
      <c r="J36" t="s">
        <v>64</v>
      </c>
      <c r="K36" t="s">
        <v>96</v>
      </c>
      <c r="L36" t="s">
        <v>180</v>
      </c>
      <c r="M36" t="s">
        <v>182</v>
      </c>
      <c r="N36" t="s">
        <v>186</v>
      </c>
      <c r="O36" s="3">
        <v>45710</v>
      </c>
      <c r="P36" s="3">
        <v>47379</v>
      </c>
      <c r="Q36" s="3">
        <v>45932</v>
      </c>
      <c r="R36" s="1">
        <v>45952</v>
      </c>
    </row>
    <row r="37" spans="1:18">
      <c r="A37" t="s">
        <v>130</v>
      </c>
      <c r="B37" t="s">
        <v>151</v>
      </c>
      <c r="C37" t="s">
        <v>173</v>
      </c>
      <c r="D37" t="s">
        <v>18</v>
      </c>
      <c r="E37" t="s">
        <v>19</v>
      </c>
      <c r="F37">
        <v>2500</v>
      </c>
      <c r="G37" s="3">
        <v>45679</v>
      </c>
      <c r="H37" s="1">
        <v>45658</v>
      </c>
      <c r="I37" s="4">
        <v>3000</v>
      </c>
      <c r="J37" t="s">
        <v>64</v>
      </c>
      <c r="K37" t="s">
        <v>96</v>
      </c>
      <c r="L37" t="s">
        <v>180</v>
      </c>
      <c r="M37" t="s">
        <v>182</v>
      </c>
      <c r="N37" t="s">
        <v>186</v>
      </c>
      <c r="O37" s="3">
        <v>45711</v>
      </c>
      <c r="P37" s="3">
        <v>47501</v>
      </c>
      <c r="Q37" s="3">
        <v>46025</v>
      </c>
      <c r="R37" s="1">
        <v>46154</v>
      </c>
    </row>
    <row r="38" spans="1:18">
      <c r="A38" t="s">
        <v>131</v>
      </c>
      <c r="B38" t="s">
        <v>152</v>
      </c>
      <c r="C38" t="s">
        <v>174</v>
      </c>
      <c r="D38" t="s">
        <v>18</v>
      </c>
      <c r="E38" t="s">
        <v>19</v>
      </c>
      <c r="F38">
        <v>2500</v>
      </c>
      <c r="G38" s="3">
        <v>45664</v>
      </c>
      <c r="H38" s="1">
        <v>45658</v>
      </c>
      <c r="I38" s="4">
        <v>3000</v>
      </c>
      <c r="J38" t="s">
        <v>20</v>
      </c>
      <c r="K38" t="s">
        <v>96</v>
      </c>
      <c r="L38" t="s">
        <v>184</v>
      </c>
      <c r="M38" t="s">
        <v>183</v>
      </c>
      <c r="N38" t="s">
        <v>48</v>
      </c>
      <c r="O38" s="3">
        <v>45665</v>
      </c>
      <c r="P38" s="3">
        <v>47502</v>
      </c>
      <c r="Q38" s="3">
        <v>46023</v>
      </c>
      <c r="R38" s="1">
        <v>46155</v>
      </c>
    </row>
    <row r="39" spans="1:18">
      <c r="A39" t="s">
        <v>132</v>
      </c>
      <c r="B39" t="s">
        <v>153</v>
      </c>
      <c r="C39" t="s">
        <v>175</v>
      </c>
      <c r="D39" t="s">
        <v>18</v>
      </c>
      <c r="E39" t="s">
        <v>19</v>
      </c>
      <c r="F39">
        <v>2500</v>
      </c>
      <c r="G39" s="3">
        <v>45665</v>
      </c>
      <c r="H39" s="1">
        <v>45658</v>
      </c>
      <c r="I39" s="4">
        <v>3000</v>
      </c>
      <c r="J39" t="s">
        <v>20</v>
      </c>
      <c r="K39" t="s">
        <v>96</v>
      </c>
      <c r="L39" t="s">
        <v>184</v>
      </c>
      <c r="M39" t="s">
        <v>183</v>
      </c>
      <c r="N39" t="s">
        <v>48</v>
      </c>
      <c r="O39" s="3">
        <v>45666</v>
      </c>
      <c r="P39" s="3">
        <v>47503</v>
      </c>
      <c r="Q39" s="3">
        <v>46037</v>
      </c>
      <c r="R39" s="1">
        <v>46135</v>
      </c>
    </row>
    <row r="40" spans="1:18">
      <c r="A40" t="s">
        <v>133</v>
      </c>
      <c r="B40" t="s">
        <v>154</v>
      </c>
      <c r="C40" t="s">
        <v>176</v>
      </c>
      <c r="D40" t="s">
        <v>18</v>
      </c>
      <c r="E40" t="s">
        <v>19</v>
      </c>
      <c r="F40">
        <v>2500</v>
      </c>
      <c r="G40" s="3">
        <v>45682</v>
      </c>
      <c r="H40" s="1">
        <v>45658</v>
      </c>
      <c r="I40" s="4">
        <v>3000</v>
      </c>
      <c r="J40" t="s">
        <v>20</v>
      </c>
      <c r="K40" t="s">
        <v>96</v>
      </c>
      <c r="L40" t="s">
        <v>184</v>
      </c>
      <c r="M40" t="s">
        <v>183</v>
      </c>
      <c r="N40" t="s">
        <v>48</v>
      </c>
      <c r="O40" s="3">
        <v>45683</v>
      </c>
      <c r="P40" s="3">
        <v>47504</v>
      </c>
      <c r="Q40" s="3">
        <v>46056</v>
      </c>
      <c r="R40" s="1">
        <v>46157</v>
      </c>
    </row>
    <row r="41" spans="1:18">
      <c r="A41" t="s">
        <v>133</v>
      </c>
      <c r="B41" t="s">
        <v>154</v>
      </c>
      <c r="C41" t="s">
        <v>187</v>
      </c>
      <c r="D41" t="s">
        <v>18</v>
      </c>
      <c r="E41" t="s">
        <v>19</v>
      </c>
      <c r="F41">
        <v>2500</v>
      </c>
      <c r="G41" s="3">
        <v>45682</v>
      </c>
      <c r="H41" s="1">
        <v>45658</v>
      </c>
      <c r="I41" s="4">
        <v>3000</v>
      </c>
      <c r="J41" t="s">
        <v>20</v>
      </c>
      <c r="K41" t="s">
        <v>76</v>
      </c>
      <c r="L41" t="s">
        <v>184</v>
      </c>
      <c r="M41" t="s">
        <v>183</v>
      </c>
      <c r="N41" t="s">
        <v>48</v>
      </c>
      <c r="O41" s="3">
        <v>45682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3BBD-733E-4700-81A2-2399BFCE5790}">
  <dimension ref="A1:X66"/>
  <sheetViews>
    <sheetView topLeftCell="N1" workbookViewId="0">
      <selection activeCell="Q3" sqref="Q3"/>
    </sheetView>
  </sheetViews>
  <sheetFormatPr defaultRowHeight="13.8"/>
  <cols>
    <col min="1" max="1" width="12.21875" customWidth="1"/>
    <col min="2" max="2" width="14" customWidth="1"/>
    <col min="3" max="3" width="33.5546875" customWidth="1"/>
    <col min="4" max="4" width="16.6640625" customWidth="1"/>
    <col min="5" max="5" width="18.21875" customWidth="1"/>
    <col min="6" max="6" width="16.88671875" customWidth="1"/>
    <col min="7" max="7" width="16.88671875" style="1" customWidth="1"/>
    <col min="8" max="8" width="22.6640625" style="1" customWidth="1"/>
    <col min="9" max="9" width="22.109375" style="1" customWidth="1"/>
    <col min="10" max="10" width="18.109375" customWidth="1"/>
    <col min="11" max="11" width="12.33203125" customWidth="1"/>
    <col min="12" max="12" width="17.109375" customWidth="1"/>
    <col min="13" max="13" width="21.77734375" customWidth="1"/>
    <col min="14" max="14" width="34" customWidth="1"/>
    <col min="15" max="15" width="25.77734375" customWidth="1"/>
    <col min="16" max="16" width="20" style="1" customWidth="1"/>
    <col min="17" max="17" width="23" style="1" customWidth="1"/>
    <col min="18" max="19" width="21.5546875" style="5" customWidth="1"/>
    <col min="20" max="20" width="20.44140625" style="1" customWidth="1"/>
    <col min="21" max="21" width="20.44140625" customWidth="1"/>
    <col min="22" max="22" width="32.6640625" style="1" bestFit="1" customWidth="1"/>
    <col min="23" max="23" width="40.33203125" style="1" customWidth="1"/>
    <col min="24" max="24" width="39.44140625" style="1" customWidth="1"/>
    <col min="25" max="25" width="34.77734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197</v>
      </c>
      <c r="Q1" s="1" t="s">
        <v>188</v>
      </c>
      <c r="R1" s="2" t="s">
        <v>191</v>
      </c>
      <c r="S1" s="2" t="s">
        <v>105</v>
      </c>
      <c r="T1" s="1" t="s">
        <v>192</v>
      </c>
      <c r="U1" s="1" t="s">
        <v>189</v>
      </c>
      <c r="V1" s="1" t="s">
        <v>190</v>
      </c>
      <c r="W1" s="1" t="s">
        <v>193</v>
      </c>
      <c r="X1" s="1" t="s">
        <v>194</v>
      </c>
    </row>
    <row r="2" spans="1:24">
      <c r="A2" t="str">
        <f>IF(Data_input!A2="","",Data_input!A2)</f>
        <v>247R1</v>
      </c>
      <c r="B2" t="str">
        <f>IF(Data_input!B2="","",Data_input!B2)</f>
        <v>250PA247R8</v>
      </c>
      <c r="C2" t="str">
        <f>IF(Data_input!C2="","",Data_input!C2)</f>
        <v>USMAN YAU</v>
      </c>
      <c r="D2" t="str">
        <f>IF(Data_input!D2="","",Data_input!D2)</f>
        <v>Active in Program</v>
      </c>
      <c r="E2" t="str">
        <f>IF(Data_input!E2="","",Data_input!E2)</f>
        <v>MATR</v>
      </c>
      <c r="F2">
        <f>IF(Data_input!F2="","",Data_input!F2)</f>
        <v>2500</v>
      </c>
      <c r="G2" s="3">
        <f>IF(Data_input!G2="","",Data_input!G2)</f>
        <v>45678</v>
      </c>
      <c r="H2" s="1">
        <f>IF(Data_input!H2="","",Data_input!H2)</f>
        <v>45658</v>
      </c>
      <c r="I2" s="3">
        <f>IF(OR(H2="",L2=""),"",
IF(ISNUMBER(SEARCH("Ph.D",M2)),
   IF(L2="Full-Time",EDATE(H2,12*5),EDATE(H2,12*7)),
   IF(L2="Full-Time",EDATE(H2,12*3),EDATE(H2,12*5))
))</f>
        <v>47484</v>
      </c>
      <c r="J2" s="4">
        <f>IF(Data_input!I2="","",Data_input!I2)</f>
        <v>3000</v>
      </c>
      <c r="K2" t="str">
        <f>IF(Data_input!J2="","",Data_input!J2)</f>
        <v>CYBER</v>
      </c>
      <c r="L2" t="str">
        <f>IF(Data_input!K2="","",Data_input!K2)</f>
        <v>Full-Time</v>
      </c>
      <c r="M2" t="str">
        <f>IF(Data_input!L2="","",Data_input!L2)</f>
        <v>Ph.D. (Eng)</v>
      </c>
      <c r="N2" t="str">
        <f>IF(Data_input!M2="","",Data_input!M2)</f>
        <v>Doctor of Philosophy (Engineering)</v>
      </c>
      <c r="O2" t="str">
        <f>IF(Data_input!N2="","",Data_input!N2)</f>
        <v>Faculty of AI and Engineering</v>
      </c>
      <c r="P2" s="1">
        <f>IF(Data_input!O2="","",Data_input!O2)</f>
        <v>45679</v>
      </c>
      <c r="Q2" s="1">
        <f>IF(P2="","",EDATE(P2,12))</f>
        <v>46044</v>
      </c>
      <c r="R2" s="3">
        <f>IF(Data_input!Q2="","",Data_input!Q2)</f>
        <v>45841</v>
      </c>
      <c r="S2" s="3">
        <f t="shared" ref="S2:S33" si="0">IF(I2="","",DATE(YEAR(I2)-1,MONTH(I2),DAY(I2)))</f>
        <v>47119</v>
      </c>
      <c r="T2" s="1">
        <f>IF(LEN(TRIM(Data_input!P2))=0,"",Data_input!P2)</f>
        <v>47239</v>
      </c>
      <c r="U2" s="1">
        <f t="shared" ref="U2:U33" si="1">IF(I2="","",I2)</f>
        <v>47484</v>
      </c>
      <c r="V2" s="1">
        <f>IF(G2="","",
IF(ISNUMBER(SEARCH("Ph.D",M2)),
   EDATE(G2,24),
   EDATE(G2,15)))</f>
        <v>46408</v>
      </c>
      <c r="W2" s="1">
        <f>IF(Data_input!R2="","",Data_input!R2)</f>
        <v>45682</v>
      </c>
      <c r="X2" s="1">
        <f>IF(Data_input!S2="","",Data_input!S2)</f>
        <v>46245</v>
      </c>
    </row>
    <row r="3" spans="1:24">
      <c r="A3" t="str">
        <f>IF(Data_input!A3="","",Data_input!A3)</f>
        <v>247R4</v>
      </c>
      <c r="B3" t="str">
        <f>IF(Data_input!B3="","",Data_input!B3)</f>
        <v>250PA247R1</v>
      </c>
      <c r="C3" t="str">
        <f>IF(Data_input!C3="","",Data_input!C3)</f>
        <v>KHAN IRFAN</v>
      </c>
      <c r="D3" t="str">
        <f>IF(Data_input!D3="","",Data_input!D3)</f>
        <v>Active in Program</v>
      </c>
      <c r="E3" t="str">
        <f>IF(Data_input!E3="","",Data_input!E3)</f>
        <v>MATR</v>
      </c>
      <c r="F3">
        <f>IF(Data_input!F3="","",Data_input!F3)</f>
        <v>2500</v>
      </c>
      <c r="G3" s="3">
        <f>IF(Data_input!G3="","",Data_input!G3)</f>
        <v>45709</v>
      </c>
      <c r="H3" s="1">
        <f>IF(Data_input!H3="","",Data_input!H3)</f>
        <v>45658</v>
      </c>
      <c r="I3" s="3">
        <f t="shared" ref="I3:I59" si="2">IF(OR(H3="",L3=""),"",
IF(ISNUMBER(SEARCH("Ph.D",M3)),
   IF(L3="Full-Time",EDATE(H3,12*5),EDATE(H3,12*7)),
   IF(L3="Full-Time",EDATE(H3,12*3),EDATE(H3,12*5))
))</f>
        <v>47484</v>
      </c>
      <c r="J3" s="4">
        <f>IF(Data_input!I3="","",Data_input!I3)</f>
        <v>3000</v>
      </c>
      <c r="K3" t="str">
        <f>IF(Data_input!J3="","",Data_input!J3)</f>
        <v>CYBER</v>
      </c>
      <c r="L3" t="str">
        <f>IF(Data_input!K3="","",Data_input!K3)</f>
        <v>Full-Time</v>
      </c>
      <c r="M3" t="str">
        <f>IF(Data_input!L3="","",Data_input!L3)</f>
        <v>Ph.D. (Eng)</v>
      </c>
      <c r="N3" t="str">
        <f>IF(Data_input!M3="","",Data_input!M3)</f>
        <v>Doctor of Philosophy (Engineering)</v>
      </c>
      <c r="O3" t="str">
        <f>IF(Data_input!N3="","",Data_input!N3)</f>
        <v>Faculty of AI and Engineering</v>
      </c>
      <c r="P3" s="1">
        <f>IF(Data_input!O3="","",Data_input!O3)</f>
        <v>45680</v>
      </c>
      <c r="Q3" s="1">
        <f t="shared" ref="Q3:Q60" si="3">IF(P3="","",EDATE(P3,12))</f>
        <v>46045</v>
      </c>
      <c r="R3" s="3">
        <f>IF(Data_input!Q3="","",Data_input!Q3)</f>
        <v>45872</v>
      </c>
      <c r="S3" s="3">
        <f t="shared" si="0"/>
        <v>47119</v>
      </c>
      <c r="T3" s="1">
        <f>IF(LEN(TRIM(Data_input!P3))=0,"",Data_input!P3)</f>
        <v>47228</v>
      </c>
      <c r="U3" s="1">
        <f t="shared" si="1"/>
        <v>47484</v>
      </c>
      <c r="V3" s="1">
        <f t="shared" ref="V3:V60" si="4">IF(G3="","",
IF(ISNUMBER(SEARCH("Ph.D",M3)),
   EDATE(G3,24),
   EDATE(G3,15)))</f>
        <v>46439</v>
      </c>
      <c r="W3" s="1">
        <f>IF(Data_input!R3="","",Data_input!R3)</f>
        <v>46237</v>
      </c>
      <c r="X3" s="1">
        <f>IF(Data_input!S3="","",Data_input!S3)</f>
        <v>46246</v>
      </c>
    </row>
    <row r="4" spans="1:24">
      <c r="A4" t="str">
        <f>IF(Data_input!A4="","",Data_input!A4)</f>
        <v>247R8</v>
      </c>
      <c r="B4" t="str">
        <f>IF(Data_input!B4="","",Data_input!B4)</f>
        <v>250PA247R2</v>
      </c>
      <c r="C4" t="str">
        <f>IF(Data_input!C4="","",Data_input!C4)</f>
        <v>JAYAKANTHAN A/L M. LACHMANAN</v>
      </c>
      <c r="D4" t="str">
        <f>IF(Data_input!D4="","",Data_input!D4)</f>
        <v>Active in Program</v>
      </c>
      <c r="E4" t="str">
        <f>IF(Data_input!E4="","",Data_input!E4)</f>
        <v>MATR</v>
      </c>
      <c r="F4">
        <f>IF(Data_input!F4="","",Data_input!F4)</f>
        <v>2500</v>
      </c>
      <c r="G4" s="3">
        <f>IF(Data_input!G4="","",Data_input!G4)</f>
        <v>45696</v>
      </c>
      <c r="H4" s="1">
        <f>IF(Data_input!H4="","",Data_input!H4)</f>
        <v>45658</v>
      </c>
      <c r="I4" s="3">
        <f t="shared" si="2"/>
        <v>47484</v>
      </c>
      <c r="J4" s="4">
        <f>IF(Data_input!I4="","",Data_input!I4)</f>
        <v>3000</v>
      </c>
      <c r="K4" t="str">
        <f>IF(Data_input!J4="","",Data_input!J4)</f>
        <v>CYBER</v>
      </c>
      <c r="L4" t="str">
        <f>IF(Data_input!K4="","",Data_input!K4)</f>
        <v>Full-Time</v>
      </c>
      <c r="M4" t="str">
        <f>IF(Data_input!L4="","",Data_input!L4)</f>
        <v>Ph.D. (Eng)</v>
      </c>
      <c r="N4" t="str">
        <f>IF(Data_input!M4="","",Data_input!M4)</f>
        <v>Doctor of Philosophy (Engineering)</v>
      </c>
      <c r="O4" t="str">
        <f>IF(Data_input!N4="","",Data_input!N4)</f>
        <v>Faculty of AI and Engineering</v>
      </c>
      <c r="P4" s="1">
        <f>IF(Data_input!O4="","",Data_input!O4)</f>
        <v>45697</v>
      </c>
      <c r="Q4" s="1">
        <f t="shared" si="3"/>
        <v>46062</v>
      </c>
      <c r="R4" s="3">
        <f>IF(Data_input!Q4="","",Data_input!Q4)</f>
        <v>45873</v>
      </c>
      <c r="S4" s="3">
        <f t="shared" si="0"/>
        <v>47119</v>
      </c>
      <c r="T4" s="1">
        <f>IF(LEN(TRIM(Data_input!P4))=0,"",Data_input!P4)</f>
        <v>47262</v>
      </c>
      <c r="U4" s="1">
        <f t="shared" si="1"/>
        <v>47484</v>
      </c>
      <c r="V4" s="1">
        <f t="shared" si="4"/>
        <v>46426</v>
      </c>
      <c r="W4" s="1">
        <f>IF(Data_input!R4="","",Data_input!R4)</f>
        <v>46206</v>
      </c>
      <c r="X4" s="1">
        <f>IF(Data_input!S4="","",Data_input!S4)</f>
        <v>46215</v>
      </c>
    </row>
    <row r="5" spans="1:24">
      <c r="A5" t="str">
        <f>IF(Data_input!A5="","",Data_input!A5)</f>
        <v>247R3</v>
      </c>
      <c r="B5" t="str">
        <f>IF(Data_input!B5="","",Data_input!B5)</f>
        <v>250PA247R5</v>
      </c>
      <c r="C5" t="str">
        <f>IF(Data_input!C5="","",Data_input!C5)</f>
        <v>IDRIS OLALEKAN ADEOYE</v>
      </c>
      <c r="D5" t="str">
        <f>IF(Data_input!D5="","",Data_input!D5)</f>
        <v>Active in Program</v>
      </c>
      <c r="E5" t="str">
        <f>IF(Data_input!E5="","",Data_input!E5)</f>
        <v>MATR</v>
      </c>
      <c r="F5">
        <f>IF(Data_input!F5="","",Data_input!F5)</f>
        <v>2500</v>
      </c>
      <c r="G5" s="3">
        <f>IF(Data_input!G5="","",Data_input!G5)</f>
        <v>45662</v>
      </c>
      <c r="H5" s="1">
        <f>IF(Data_input!H5="","",Data_input!H5)</f>
        <v>45658</v>
      </c>
      <c r="I5" s="3">
        <f t="shared" si="2"/>
        <v>47484</v>
      </c>
      <c r="J5" s="4">
        <f>IF(Data_input!I5="","",Data_input!I5)</f>
        <v>3000</v>
      </c>
      <c r="K5" t="str">
        <f>IF(Data_input!J5="","",Data_input!J5)</f>
        <v>CYBER</v>
      </c>
      <c r="L5" t="str">
        <f>IF(Data_input!K5="","",Data_input!K5)</f>
        <v>Full-Time</v>
      </c>
      <c r="M5" t="str">
        <f>IF(Data_input!L5="","",Data_input!L5)</f>
        <v>Ph.D. (Eng)</v>
      </c>
      <c r="N5" t="str">
        <f>IF(Data_input!M5="","",Data_input!M5)</f>
        <v>Doctor of Philosophy (Engineering)</v>
      </c>
      <c r="O5" t="str">
        <f>IF(Data_input!N5="","",Data_input!N5)</f>
        <v>Faculty of AI and Engineering</v>
      </c>
      <c r="P5" s="1">
        <f>IF(Data_input!O5="","",Data_input!O5)</f>
        <v>45663</v>
      </c>
      <c r="Q5" s="1">
        <f t="shared" si="3"/>
        <v>46028</v>
      </c>
      <c r="R5" s="3">
        <f>IF(Data_input!Q5="","",Data_input!Q5)</f>
        <v>45875</v>
      </c>
      <c r="S5" s="3">
        <f t="shared" si="0"/>
        <v>47119</v>
      </c>
      <c r="T5" s="1">
        <f>IF(LEN(TRIM(Data_input!P5))=0,"",Data_input!P5)</f>
        <v>47340</v>
      </c>
      <c r="U5" s="1">
        <f t="shared" si="1"/>
        <v>47484</v>
      </c>
      <c r="V5" s="1">
        <f t="shared" si="4"/>
        <v>46392</v>
      </c>
      <c r="W5" s="1">
        <f>IF(Data_input!R5="","",Data_input!R5)</f>
        <v>46239</v>
      </c>
      <c r="X5" s="1">
        <f>IF(Data_input!S5="","",Data_input!S5)</f>
        <v>46248</v>
      </c>
    </row>
    <row r="6" spans="1:24">
      <c r="A6" t="str">
        <f>IF(Data_input!A6="","",Data_input!A6)</f>
        <v>247R7</v>
      </c>
      <c r="B6" t="str">
        <f>IF(Data_input!B6="","",Data_input!B6)</f>
        <v>250PA247R7</v>
      </c>
      <c r="C6" t="str">
        <f>IF(Data_input!C6="","",Data_input!C6)</f>
        <v>NUHU DAN-AZUMI MUHAMMAD</v>
      </c>
      <c r="D6" t="str">
        <f>IF(Data_input!D6="","",Data_input!D6)</f>
        <v>Active in Program</v>
      </c>
      <c r="E6" t="str">
        <f>IF(Data_input!E6="","",Data_input!E6)</f>
        <v>MATR</v>
      </c>
      <c r="F6">
        <f>IF(Data_input!F6="","",Data_input!F6)</f>
        <v>2500</v>
      </c>
      <c r="G6" s="3">
        <f>IF(Data_input!G6="","",Data_input!G6)</f>
        <v>45662</v>
      </c>
      <c r="H6" s="1">
        <f>IF(Data_input!H6="","",Data_input!H6)</f>
        <v>45658</v>
      </c>
      <c r="I6" s="3">
        <f t="shared" si="2"/>
        <v>47484</v>
      </c>
      <c r="J6" s="4">
        <f>IF(Data_input!I6="","",Data_input!I6)</f>
        <v>3000</v>
      </c>
      <c r="K6" t="str">
        <f>IF(Data_input!J6="","",Data_input!J6)</f>
        <v>CYBER</v>
      </c>
      <c r="L6" t="str">
        <f>IF(Data_input!K6="","",Data_input!K6)</f>
        <v>Full-Time</v>
      </c>
      <c r="M6" t="str">
        <f>IF(Data_input!L6="","",Data_input!L6)</f>
        <v>Ph.D. (Eng)</v>
      </c>
      <c r="N6" t="str">
        <f>IF(Data_input!M6="","",Data_input!M6)</f>
        <v>Doctor of Philosophy (Engineering)</v>
      </c>
      <c r="O6" t="str">
        <f>IF(Data_input!N6="","",Data_input!N6)</f>
        <v>Faculty of AI and Engineering</v>
      </c>
      <c r="P6" s="1">
        <f>IF(Data_input!O6="","",Data_input!O6)</f>
        <v>45663</v>
      </c>
      <c r="Q6" s="1">
        <f t="shared" si="3"/>
        <v>46028</v>
      </c>
      <c r="R6" s="3">
        <f>IF(Data_input!Q6="","",Data_input!Q6)</f>
        <v>45875</v>
      </c>
      <c r="S6" s="3">
        <f t="shared" si="0"/>
        <v>47119</v>
      </c>
      <c r="T6" s="1">
        <f>IF(LEN(TRIM(Data_input!P6))=0,"",Data_input!P6)</f>
        <v>47346</v>
      </c>
      <c r="U6" s="1">
        <f t="shared" si="1"/>
        <v>47484</v>
      </c>
      <c r="V6" s="1">
        <f t="shared" si="4"/>
        <v>46392</v>
      </c>
      <c r="W6" s="1">
        <f>IF(Data_input!R6="","",Data_input!R6)</f>
        <v>46240</v>
      </c>
      <c r="X6" s="1">
        <f>IF(Data_input!S6="","",Data_input!S6)</f>
        <v>46249</v>
      </c>
    </row>
    <row r="7" spans="1:24">
      <c r="A7" t="str">
        <f>IF(Data_input!A7="","",Data_input!A7)</f>
        <v>2508F</v>
      </c>
      <c r="B7" t="str">
        <f>IF(Data_input!B7="","",Data_input!B7)</f>
        <v>250PA257R3</v>
      </c>
      <c r="C7" t="str">
        <f>IF(Data_input!C7="","",Data_input!C7)</f>
        <v>NAZ ANUM</v>
      </c>
      <c r="D7" t="str">
        <f>IF(Data_input!D7="","",Data_input!D7)</f>
        <v>Active in Program</v>
      </c>
      <c r="E7" t="str">
        <f>IF(Data_input!E7="","",Data_input!E7)</f>
        <v>MATR</v>
      </c>
      <c r="F7">
        <f>IF(Data_input!F7="","",Data_input!F7)</f>
        <v>2500</v>
      </c>
      <c r="G7" s="3">
        <f>IF(Data_input!G7="","",Data_input!G7)</f>
        <v>45661</v>
      </c>
      <c r="H7" s="1">
        <f>IF(Data_input!H7="","",Data_input!H7)</f>
        <v>45658</v>
      </c>
      <c r="I7" s="3">
        <f t="shared" si="2"/>
        <v>47484</v>
      </c>
      <c r="J7" s="4">
        <f>IF(Data_input!I7="","",Data_input!I7)</f>
        <v>3000</v>
      </c>
      <c r="K7" t="str">
        <f>IF(Data_input!J7="","",Data_input!J7)</f>
        <v>CYBER</v>
      </c>
      <c r="L7" t="str">
        <f>IF(Data_input!K7="","",Data_input!K7)</f>
        <v>Full-Time</v>
      </c>
      <c r="M7" t="str">
        <f>IF(Data_input!L7="","",Data_input!L7)</f>
        <v>Ph.D. (Eng)</v>
      </c>
      <c r="N7" t="str">
        <f>IF(Data_input!M7="","",Data_input!M7)</f>
        <v>Doctor of Philosophy (Engineering)</v>
      </c>
      <c r="O7" t="str">
        <f>IF(Data_input!N7="","",Data_input!N7)</f>
        <v>Faculty of AI and Engineering</v>
      </c>
      <c r="P7" s="1">
        <f>IF(Data_input!O7="","",Data_input!O7)</f>
        <v>45662</v>
      </c>
      <c r="Q7" s="1">
        <f t="shared" si="3"/>
        <v>46027</v>
      </c>
      <c r="R7" s="3">
        <f>IF(Data_input!Q7="","",Data_input!Q7)</f>
        <v>45876</v>
      </c>
      <c r="S7" s="3">
        <f t="shared" si="0"/>
        <v>47119</v>
      </c>
      <c r="T7" s="1">
        <f>IF(LEN(TRIM(Data_input!P7))=0,"",Data_input!P7)</f>
        <v>47342</v>
      </c>
      <c r="U7" s="1">
        <f t="shared" si="1"/>
        <v>47484</v>
      </c>
      <c r="V7" s="1">
        <f t="shared" si="4"/>
        <v>46391</v>
      </c>
      <c r="W7" s="1">
        <f>IF(Data_input!R7="","",Data_input!R7)</f>
        <v>46241</v>
      </c>
      <c r="X7" s="1">
        <f>IF(Data_input!S7="","",Data_input!S7)</f>
        <v>46250</v>
      </c>
    </row>
    <row r="8" spans="1:24">
      <c r="A8" t="str">
        <f>IF(Data_input!A8="","",Data_input!A8)</f>
        <v>243YN</v>
      </c>
      <c r="B8" t="str">
        <f>IF(Data_input!B8="","",Data_input!B8)</f>
        <v>250PA237R1</v>
      </c>
      <c r="C8" t="str">
        <f>IF(Data_input!C8="","",Data_input!C8)</f>
        <v>NUR SYAZA BINTI ZAKARIA</v>
      </c>
      <c r="D8" t="str">
        <f>IF(Data_input!D8="","",Data_input!D8)</f>
        <v>Active in Program</v>
      </c>
      <c r="E8" t="str">
        <f>IF(Data_input!E8="","",Data_input!E8)</f>
        <v>MATR</v>
      </c>
      <c r="F8">
        <f>IF(Data_input!F8="","",Data_input!F8)</f>
        <v>2500</v>
      </c>
      <c r="G8" s="3">
        <f>IF(Data_input!G8="","",Data_input!G8)</f>
        <v>45695</v>
      </c>
      <c r="H8" s="1">
        <f>IF(Data_input!H8="","",Data_input!H8)</f>
        <v>45658</v>
      </c>
      <c r="I8" s="3">
        <f t="shared" si="2"/>
        <v>47484</v>
      </c>
      <c r="J8" s="4">
        <f>IF(Data_input!I8="","",Data_input!I8)</f>
        <v>3000</v>
      </c>
      <c r="K8" t="str">
        <f>IF(Data_input!J8="","",Data_input!J8)</f>
        <v>CYBER</v>
      </c>
      <c r="L8" t="str">
        <f>IF(Data_input!K8="","",Data_input!K8)</f>
        <v>Full-Time</v>
      </c>
      <c r="M8" t="str">
        <f>IF(Data_input!L8="","",Data_input!L8)</f>
        <v>Ph.D. (Eng)</v>
      </c>
      <c r="N8" t="str">
        <f>IF(Data_input!M8="","",Data_input!M8)</f>
        <v>Doctor of Philosophy (Engineering)</v>
      </c>
      <c r="O8" t="str">
        <f>IF(Data_input!N8="","",Data_input!N8)</f>
        <v>Faculty of AI and Engineering</v>
      </c>
      <c r="P8" s="1">
        <f>IF(Data_input!O8="","",Data_input!O8)</f>
        <v>45696</v>
      </c>
      <c r="Q8" s="1">
        <f t="shared" si="3"/>
        <v>46061</v>
      </c>
      <c r="R8" s="3">
        <f>IF(Data_input!Q8="","",Data_input!Q8)</f>
        <v>46242</v>
      </c>
      <c r="S8" s="3">
        <f t="shared" si="0"/>
        <v>47119</v>
      </c>
      <c r="T8" s="1">
        <f>IF(LEN(TRIM(Data_input!P8))=0,"",Data_input!P8)</f>
        <v>47496</v>
      </c>
      <c r="U8" s="1">
        <f t="shared" si="1"/>
        <v>47484</v>
      </c>
      <c r="V8" s="1">
        <f t="shared" si="4"/>
        <v>46425</v>
      </c>
      <c r="W8" s="1">
        <f>IF(Data_input!R8="","",Data_input!R8)</f>
        <v>46607</v>
      </c>
      <c r="X8" s="1">
        <f>IF(Data_input!S8="","",Data_input!S8)</f>
        <v>46607</v>
      </c>
    </row>
    <row r="9" spans="1:24">
      <c r="A9" t="str">
        <f>IF(Data_input!A9="","",Data_input!A9)</f>
        <v>251D4</v>
      </c>
      <c r="B9" t="str">
        <f>IF(Data_input!B9="","",Data_input!B9)</f>
        <v>250PK242QD</v>
      </c>
      <c r="C9" t="str">
        <f>IF(Data_input!C9="","",Data_input!C9)</f>
        <v>YANG XIAO</v>
      </c>
      <c r="D9" t="str">
        <f>IF(Data_input!D9="","",Data_input!D9)</f>
        <v>Active in Program</v>
      </c>
      <c r="E9" t="str">
        <f>IF(Data_input!E9="","",Data_input!E9)</f>
        <v>MATR</v>
      </c>
      <c r="F9">
        <f>IF(Data_input!F9="","",Data_input!F9)</f>
        <v>2500</v>
      </c>
      <c r="G9" s="3">
        <f>IF(Data_input!G9="","",Data_input!G9)</f>
        <v>45738</v>
      </c>
      <c r="H9" s="1">
        <f>IF(Data_input!H9="","",Data_input!H9)</f>
        <v>45658</v>
      </c>
      <c r="I9" s="3">
        <f t="shared" si="2"/>
        <v>47484</v>
      </c>
      <c r="J9" s="4">
        <f>IF(Data_input!I9="","",Data_input!I9)</f>
        <v>3000</v>
      </c>
      <c r="K9" t="str">
        <f>IF(Data_input!J9="","",Data_input!J9)</f>
        <v>CYBER</v>
      </c>
      <c r="L9" t="str">
        <f>IF(Data_input!K9="","",Data_input!K9)</f>
        <v>Full-Time</v>
      </c>
      <c r="M9" t="str">
        <f>IF(Data_input!L9="","",Data_input!L9)</f>
        <v>Ph.D. (Communication)</v>
      </c>
      <c r="N9" t="str">
        <f>IF(Data_input!M9="","",Data_input!M9)</f>
        <v>Doctor of Philosophy (Communication)</v>
      </c>
      <c r="O9" t="str">
        <f>IF(Data_input!N9="","",Data_input!N9)</f>
        <v>Faculty of Applied Comm</v>
      </c>
      <c r="P9" s="1">
        <f>IF(Data_input!O9="","",Data_input!O9)</f>
        <v>45739</v>
      </c>
      <c r="Q9" s="1">
        <f t="shared" si="3"/>
        <v>46104</v>
      </c>
      <c r="R9" s="3">
        <f>IF(Data_input!Q9="","",Data_input!Q9)</f>
        <v>46121</v>
      </c>
      <c r="S9" s="3">
        <f t="shared" si="0"/>
        <v>47119</v>
      </c>
      <c r="T9" s="1">
        <f>IF(LEN(TRIM(Data_input!P9))=0,"",Data_input!P9)</f>
        <v>47497</v>
      </c>
      <c r="U9" s="1">
        <f t="shared" si="1"/>
        <v>47484</v>
      </c>
      <c r="V9" s="1">
        <f t="shared" si="4"/>
        <v>46468</v>
      </c>
      <c r="W9" s="1">
        <f>IF(Data_input!R9="","",Data_input!R9)</f>
        <v>46608</v>
      </c>
      <c r="X9" s="1">
        <f>IF(Data_input!S9="","",Data_input!S9)</f>
        <v>46610</v>
      </c>
    </row>
    <row r="10" spans="1:24">
      <c r="A10" t="str">
        <f>IF(Data_input!A10="","",Data_input!A10)</f>
        <v>2458H</v>
      </c>
      <c r="B10" t="str">
        <f>IF(Data_input!B10="","",Data_input!B10)</f>
        <v>250PK232QD</v>
      </c>
      <c r="C10" t="str">
        <f>IF(Data_input!C10="","",Data_input!C10)</f>
        <v>MD MUSLIM UDDIN AHMED PIPUL</v>
      </c>
      <c r="D10" t="str">
        <f>IF(Data_input!D10="","",Data_input!D10)</f>
        <v>Active in Program</v>
      </c>
      <c r="E10" t="str">
        <f>IF(Data_input!E10="","",Data_input!E10)</f>
        <v>MATR</v>
      </c>
      <c r="F10">
        <f>IF(Data_input!F10="","",Data_input!F10)</f>
        <v>2500</v>
      </c>
      <c r="G10" s="3">
        <f>IF(Data_input!G10="","",Data_input!G10)</f>
        <v>45724</v>
      </c>
      <c r="H10" s="1">
        <f>IF(Data_input!H10="","",Data_input!H10)</f>
        <v>45658</v>
      </c>
      <c r="I10" s="3">
        <f t="shared" si="2"/>
        <v>47484</v>
      </c>
      <c r="J10" s="4">
        <f>IF(Data_input!I10="","",Data_input!I10)</f>
        <v>3000</v>
      </c>
      <c r="K10" t="str">
        <f>IF(Data_input!J10="","",Data_input!J10)</f>
        <v>CYBER</v>
      </c>
      <c r="L10" t="str">
        <f>IF(Data_input!K10="","",Data_input!K10)</f>
        <v>Full-Time</v>
      </c>
      <c r="M10" t="str">
        <f>IF(Data_input!L10="","",Data_input!L10)</f>
        <v>Ph.D. (Communication)</v>
      </c>
      <c r="N10" t="str">
        <f>IF(Data_input!M10="","",Data_input!M10)</f>
        <v>Doctor of Philosophy (Communication)</v>
      </c>
      <c r="O10" t="str">
        <f>IF(Data_input!N10="","",Data_input!N10)</f>
        <v>Faculty of Applied Comm</v>
      </c>
      <c r="P10" s="1">
        <f>IF(Data_input!O10="","",Data_input!O10)</f>
        <v>45725</v>
      </c>
      <c r="Q10" s="1">
        <f t="shared" si="3"/>
        <v>46090</v>
      </c>
      <c r="R10" s="3">
        <f>IF(Data_input!Q10="","",Data_input!Q10)</f>
        <v>46244</v>
      </c>
      <c r="S10" s="3">
        <f t="shared" si="0"/>
        <v>47119</v>
      </c>
      <c r="T10" s="1">
        <f>IF(LEN(TRIM(Data_input!P10))=0,"",Data_input!P10)</f>
        <v>47498</v>
      </c>
      <c r="U10" s="1">
        <f t="shared" si="1"/>
        <v>47484</v>
      </c>
      <c r="V10" s="1">
        <f t="shared" si="4"/>
        <v>46454</v>
      </c>
      <c r="W10" s="1">
        <f>IF(Data_input!R10="","",Data_input!R10)</f>
        <v>46609</v>
      </c>
      <c r="X10" s="1">
        <f>IF(Data_input!S10="","",Data_input!S10)</f>
        <v>46609</v>
      </c>
    </row>
    <row r="11" spans="1:24">
      <c r="A11" t="str">
        <f>IF(Data_input!A11="","",Data_input!A11)</f>
        <v>252QD</v>
      </c>
      <c r="B11" t="str">
        <f>IF(Data_input!B11="","",Data_input!B11)</f>
        <v>250PK222QD</v>
      </c>
      <c r="C11" t="str">
        <f>IF(Data_input!C11="","",Data_input!C11)</f>
        <v>JOANNA A/P JAYAPRAKASH</v>
      </c>
      <c r="D11" t="str">
        <f>IF(Data_input!D11="","",Data_input!D11)</f>
        <v>Active in Program</v>
      </c>
      <c r="E11" t="str">
        <f>IF(Data_input!E11="","",Data_input!E11)</f>
        <v>MATR</v>
      </c>
      <c r="F11">
        <f>IF(Data_input!F11="","",Data_input!F11)</f>
        <v>2500</v>
      </c>
      <c r="G11" s="3">
        <f>IF(Data_input!G11="","",Data_input!G11)</f>
        <v>45704</v>
      </c>
      <c r="H11" s="1">
        <f>IF(Data_input!H11="","",Data_input!H11)</f>
        <v>45658</v>
      </c>
      <c r="I11" s="3">
        <f t="shared" si="2"/>
        <v>47484</v>
      </c>
      <c r="J11" s="4">
        <f>IF(Data_input!I11="","",Data_input!I11)</f>
        <v>3000</v>
      </c>
      <c r="K11" t="str">
        <f>IF(Data_input!J11="","",Data_input!J11)</f>
        <v>CYBER</v>
      </c>
      <c r="L11" t="str">
        <f>IF(Data_input!K11="","",Data_input!K11)</f>
        <v>Full-Time</v>
      </c>
      <c r="M11" t="str">
        <f>IF(Data_input!L11="","",Data_input!L11)</f>
        <v>Ph.D. (Communication)</v>
      </c>
      <c r="N11" t="str">
        <f>IF(Data_input!M11="","",Data_input!M11)</f>
        <v>Doctor of Philosophy (Communication)</v>
      </c>
      <c r="O11" t="str">
        <f>IF(Data_input!N11="","",Data_input!N11)</f>
        <v>Faculty of Applied Comm</v>
      </c>
      <c r="P11" s="1">
        <f>IF(Data_input!O11="","",Data_input!O11)</f>
        <v>45705</v>
      </c>
      <c r="Q11" s="1">
        <f t="shared" si="3"/>
        <v>46070</v>
      </c>
      <c r="R11" s="3">
        <f>IF(Data_input!Q11="","",Data_input!Q11)</f>
        <v>46245</v>
      </c>
      <c r="S11" s="3">
        <f t="shared" si="0"/>
        <v>47119</v>
      </c>
      <c r="T11" s="1">
        <f>IF(LEN(TRIM(Data_input!P11))=0,"",Data_input!P11)</f>
        <v>47499</v>
      </c>
      <c r="U11" s="1">
        <f t="shared" si="1"/>
        <v>47484</v>
      </c>
      <c r="V11" s="1">
        <f t="shared" si="4"/>
        <v>46434</v>
      </c>
      <c r="W11" s="1">
        <f>IF(Data_input!R11="","",Data_input!R11)</f>
        <v>46610</v>
      </c>
      <c r="X11" s="1">
        <f>IF(Data_input!S11="","",Data_input!S11)</f>
        <v>46610</v>
      </c>
    </row>
    <row r="12" spans="1:24">
      <c r="A12" t="str">
        <f>IF(Data_input!A12="","",Data_input!A12)</f>
        <v>243YN</v>
      </c>
      <c r="B12" t="str">
        <f>IF(Data_input!B12="","",Data_input!B12)</f>
        <v>250PK212QD</v>
      </c>
      <c r="C12" t="str">
        <f>IF(Data_input!C12="","",Data_input!C12)</f>
        <v>HAMZA BASHER ALAMIN BARKA</v>
      </c>
      <c r="D12" t="str">
        <f>IF(Data_input!D12="","",Data_input!D12)</f>
        <v>Active in Program</v>
      </c>
      <c r="E12" t="str">
        <f>IF(Data_input!E12="","",Data_input!E12)</f>
        <v>MATR</v>
      </c>
      <c r="F12">
        <f>IF(Data_input!F12="","",Data_input!F12)</f>
        <v>2500</v>
      </c>
      <c r="G12" s="3">
        <f>IF(Data_input!G12="","",Data_input!G12)</f>
        <v>45662</v>
      </c>
      <c r="H12" s="1">
        <f>IF(Data_input!H12="","",Data_input!H12)</f>
        <v>45658</v>
      </c>
      <c r="I12" s="3">
        <f t="shared" si="2"/>
        <v>48214</v>
      </c>
      <c r="J12" s="4">
        <f>IF(Data_input!I12="","",Data_input!I12)</f>
        <v>3000</v>
      </c>
      <c r="K12" t="str">
        <f>IF(Data_input!J12="","",Data_input!J12)</f>
        <v>CYBER</v>
      </c>
      <c r="L12" t="str">
        <f>IF(Data_input!K12="","",Data_input!K12)</f>
        <v>Part-Time</v>
      </c>
      <c r="M12" t="str">
        <f>IF(Data_input!L12="","",Data_input!L12)</f>
        <v>Ph.D. (Communication)</v>
      </c>
      <c r="N12" t="str">
        <f>IF(Data_input!M12="","",Data_input!M12)</f>
        <v>Doctor of Philosophy (Communication)</v>
      </c>
      <c r="O12" t="str">
        <f>IF(Data_input!N12="","",Data_input!N12)</f>
        <v>Faculty of Applied Comm</v>
      </c>
      <c r="P12" s="1">
        <f>IF(Data_input!O12="","",Data_input!O12)</f>
        <v>45663</v>
      </c>
      <c r="Q12" s="1">
        <f t="shared" si="3"/>
        <v>46028</v>
      </c>
      <c r="R12" s="3">
        <f>IF(Data_input!Q12="","",Data_input!Q12)</f>
        <v>45795</v>
      </c>
      <c r="S12" s="3">
        <f t="shared" si="0"/>
        <v>47849</v>
      </c>
      <c r="T12" s="1">
        <f>IF(LEN(TRIM(Data_input!P12))=0,"",Data_input!P12)</f>
        <v>47225</v>
      </c>
      <c r="U12" s="1">
        <f t="shared" si="1"/>
        <v>48214</v>
      </c>
      <c r="V12" s="1">
        <f t="shared" si="4"/>
        <v>46392</v>
      </c>
      <c r="W12" s="1">
        <f>IF(Data_input!R12="","",Data_input!R12)</f>
        <v>45759</v>
      </c>
      <c r="X12" s="1">
        <f>IF(Data_input!S12="","",Data_input!S12)</f>
        <v>45759</v>
      </c>
    </row>
    <row r="13" spans="1:24">
      <c r="A13" t="str">
        <f>IF(Data_input!A13="","",Data_input!A13)</f>
        <v>247R7</v>
      </c>
      <c r="B13" t="str">
        <f>IF(Data_input!B13="","",Data_input!B13)</f>
        <v>250PK272QD</v>
      </c>
      <c r="C13" t="str">
        <f>IF(Data_input!C13="","",Data_input!C13)</f>
        <v>NAHIDA FERDOUS</v>
      </c>
      <c r="D13" t="str">
        <f>IF(Data_input!D13="","",Data_input!D13)</f>
        <v>Active in Program</v>
      </c>
      <c r="E13" t="str">
        <f>IF(Data_input!E13="","",Data_input!E13)</f>
        <v>MATR</v>
      </c>
      <c r="F13">
        <f>IF(Data_input!F13="","",Data_input!F13)</f>
        <v>2500</v>
      </c>
      <c r="G13" s="3">
        <f>IF(Data_input!G13="","",Data_input!G13)</f>
        <v>45695</v>
      </c>
      <c r="H13" s="1">
        <f>IF(Data_input!H13="","",Data_input!H13)</f>
        <v>45658</v>
      </c>
      <c r="I13" s="3">
        <f t="shared" si="2"/>
        <v>48214</v>
      </c>
      <c r="J13" s="4">
        <f>IF(Data_input!I13="","",Data_input!I13)</f>
        <v>3000</v>
      </c>
      <c r="K13" t="str">
        <f>IF(Data_input!J13="","",Data_input!J13)</f>
        <v>CYBER</v>
      </c>
      <c r="L13" t="str">
        <f>IF(Data_input!K13="","",Data_input!K13)</f>
        <v>Part-Time</v>
      </c>
      <c r="M13" t="str">
        <f>IF(Data_input!L13="","",Data_input!L13)</f>
        <v>Ph.D. (Communication)</v>
      </c>
      <c r="N13" t="str">
        <f>IF(Data_input!M13="","",Data_input!M13)</f>
        <v>Doctor of Philosophy (Communication)</v>
      </c>
      <c r="O13" t="str">
        <f>IF(Data_input!N13="","",Data_input!N13)</f>
        <v>Faculty of Applied Comm</v>
      </c>
      <c r="P13" s="1">
        <f>IF(Data_input!O13="","",Data_input!O13)</f>
        <v>45696</v>
      </c>
      <c r="Q13" s="1">
        <f t="shared" si="3"/>
        <v>46061</v>
      </c>
      <c r="R13" s="3">
        <f>IF(Data_input!Q13="","",Data_input!Q13)</f>
        <v>45765</v>
      </c>
      <c r="S13" s="3">
        <f t="shared" si="0"/>
        <v>47849</v>
      </c>
      <c r="T13" s="1">
        <f>IF(LEN(TRIM(Data_input!P13))=0,"",Data_input!P13)</f>
        <v>47226</v>
      </c>
      <c r="U13" s="1">
        <f t="shared" si="1"/>
        <v>48214</v>
      </c>
      <c r="V13" s="1">
        <f t="shared" si="4"/>
        <v>46425</v>
      </c>
      <c r="W13" s="1">
        <f>IF(Data_input!R13="","",Data_input!R13)</f>
        <v>46125</v>
      </c>
      <c r="X13" s="1">
        <f>IF(Data_input!S13="","",Data_input!S13)</f>
        <v>46135</v>
      </c>
    </row>
    <row r="14" spans="1:24">
      <c r="A14" t="str">
        <f>IF(Data_input!A14="","",Data_input!A14)</f>
        <v>2458H</v>
      </c>
      <c r="B14" t="str">
        <f>IF(Data_input!B14="","",Data_input!B14)</f>
        <v>250PK251QD</v>
      </c>
      <c r="C14" t="str">
        <f>IF(Data_input!C14="","",Data_input!C14)</f>
        <v>NAHIDA ANUM</v>
      </c>
      <c r="D14" t="str">
        <f>IF(Data_input!D14="","",Data_input!D14)</f>
        <v>Active in Program</v>
      </c>
      <c r="E14" t="str">
        <f>IF(Data_input!E14="","",Data_input!E14)</f>
        <v>MATR</v>
      </c>
      <c r="F14">
        <f>IF(Data_input!F14="","",Data_input!F14)</f>
        <v>2500</v>
      </c>
      <c r="G14" s="3">
        <f>IF(Data_input!G14="","",Data_input!G14)</f>
        <v>45665</v>
      </c>
      <c r="H14" s="1">
        <f>IF(Data_input!H14="","",Data_input!H14)</f>
        <v>45658</v>
      </c>
      <c r="I14" s="3">
        <f t="shared" si="2"/>
        <v>48214</v>
      </c>
      <c r="J14" s="4">
        <f>IF(Data_input!I14="","",Data_input!I14)</f>
        <v>3000</v>
      </c>
      <c r="K14" t="str">
        <f>IF(Data_input!J14="","",Data_input!J14)</f>
        <v>CYBER</v>
      </c>
      <c r="L14" t="str">
        <f>IF(Data_input!K14="","",Data_input!K14)</f>
        <v>Part-Time</v>
      </c>
      <c r="M14" t="str">
        <f>IF(Data_input!L14="","",Data_input!L14)</f>
        <v>Ph.D. (Communication)</v>
      </c>
      <c r="N14" t="str">
        <f>IF(Data_input!M14="","",Data_input!M14)</f>
        <v>Doctor of Philosophy (Communication)</v>
      </c>
      <c r="O14" t="str">
        <f>IF(Data_input!N14="","",Data_input!N14)</f>
        <v>Faculty of Applied Comm</v>
      </c>
      <c r="P14" s="1">
        <f>IF(Data_input!O14="","",Data_input!O14)</f>
        <v>45665</v>
      </c>
      <c r="Q14" s="1">
        <f t="shared" si="3"/>
        <v>46030</v>
      </c>
      <c r="R14" s="3">
        <f>IF(Data_input!Q14="","",Data_input!Q14)</f>
        <v>45792</v>
      </c>
      <c r="S14" s="3">
        <f t="shared" si="0"/>
        <v>47849</v>
      </c>
      <c r="T14" s="1">
        <f>IF(LEN(TRIM(Data_input!P14))=0,"",Data_input!P14)</f>
        <v>47196</v>
      </c>
      <c r="U14" s="1">
        <f t="shared" si="1"/>
        <v>48214</v>
      </c>
      <c r="V14" s="1">
        <f t="shared" si="4"/>
        <v>46395</v>
      </c>
      <c r="W14" s="1">
        <f>IF(Data_input!R14="","",Data_input!R14)</f>
        <v>45761</v>
      </c>
      <c r="X14" s="1">
        <f>IF(Data_input!S14="","",Data_input!S14)</f>
        <v>45761</v>
      </c>
    </row>
    <row r="15" spans="1:24">
      <c r="A15" t="str">
        <f>IF(Data_input!A15="","",Data_input!A15)</f>
        <v>245YK</v>
      </c>
      <c r="B15" t="str">
        <f>IF(Data_input!B15="","",Data_input!B15)</f>
        <v>250PB252PD</v>
      </c>
      <c r="C15" t="str">
        <f>IF(Data_input!C15="","",Data_input!C15)</f>
        <v>KHAN FERDOUS</v>
      </c>
      <c r="D15" t="str">
        <f>IF(Data_input!D15="","",Data_input!D15)</f>
        <v>Active in Program</v>
      </c>
      <c r="E15" t="str">
        <f>IF(Data_input!E15="","",Data_input!E15)</f>
        <v>MATR</v>
      </c>
      <c r="F15">
        <f>IF(Data_input!F15="","",Data_input!F15)</f>
        <v>2500</v>
      </c>
      <c r="G15" s="3">
        <f>IF(Data_input!G15="","",Data_input!G15)</f>
        <v>45685</v>
      </c>
      <c r="H15" s="1">
        <f>IF(Data_input!H15="","",Data_input!H15)</f>
        <v>45658</v>
      </c>
      <c r="I15" s="3">
        <f t="shared" si="2"/>
        <v>48214</v>
      </c>
      <c r="J15" s="4">
        <f>IF(Data_input!I15="","",Data_input!I15)</f>
        <v>3000</v>
      </c>
      <c r="K15" t="str">
        <f>IF(Data_input!J15="","",Data_input!J15)</f>
        <v>MLAKA</v>
      </c>
      <c r="L15" t="str">
        <f>IF(Data_input!K15="","",Data_input!K15)</f>
        <v>Part-Time</v>
      </c>
      <c r="M15" t="str">
        <f>IF(Data_input!L15="","",Data_input!L15)</f>
        <v>Ph.D. (Mgmt.)</v>
      </c>
      <c r="N15" t="str">
        <f>IF(Data_input!M15="","",Data_input!M15)</f>
        <v>Doctor of Philosophy (Management)</v>
      </c>
      <c r="O15" t="str">
        <f>IF(Data_input!N15="","",Data_input!N15)</f>
        <v>Faculty of Business</v>
      </c>
      <c r="P15" s="1">
        <f>IF(Data_input!O15="","",Data_input!O15)</f>
        <v>45686</v>
      </c>
      <c r="Q15" s="1">
        <f t="shared" si="3"/>
        <v>46051</v>
      </c>
      <c r="R15" s="3">
        <f>IF(Data_input!Q15="","",Data_input!Q15)</f>
        <v>45884</v>
      </c>
      <c r="S15" s="3">
        <f t="shared" si="0"/>
        <v>47849</v>
      </c>
      <c r="T15" s="1">
        <f>IF(LEN(TRIM(Data_input!P15))=0,"",Data_input!P15)</f>
        <v>48081</v>
      </c>
      <c r="U15" s="1">
        <f t="shared" si="1"/>
        <v>48214</v>
      </c>
      <c r="V15" s="1">
        <f t="shared" si="4"/>
        <v>46415</v>
      </c>
      <c r="W15" s="1">
        <f>IF(Data_input!R15="","",Data_input!R15)</f>
        <v>46249</v>
      </c>
      <c r="X15" s="1">
        <f>IF(Data_input!S15="","",Data_input!S15)</f>
        <v>46280</v>
      </c>
    </row>
    <row r="16" spans="1:24">
      <c r="A16" t="str">
        <f>IF(Data_input!A16="","",Data_input!A16)</f>
        <v>245ZK</v>
      </c>
      <c r="B16" t="str">
        <f>IF(Data_input!B16="","",Data_input!B16)</f>
        <v>250PB244PD</v>
      </c>
      <c r="C16" t="str">
        <f>IF(Data_input!C16="","",Data_input!C16)</f>
        <v>PUARA A/P LACHMANAN</v>
      </c>
      <c r="D16" t="str">
        <f>IF(Data_input!D16="","",Data_input!D16)</f>
        <v>Active in Program</v>
      </c>
      <c r="E16" t="str">
        <f>IF(Data_input!E16="","",Data_input!E16)</f>
        <v>MATR</v>
      </c>
      <c r="F16">
        <f>IF(Data_input!F16="","",Data_input!F16)</f>
        <v>2500</v>
      </c>
      <c r="G16" s="3">
        <f>IF(Data_input!G16="","",Data_input!G16)</f>
        <v>45693</v>
      </c>
      <c r="H16" s="1">
        <f>IF(Data_input!H16="","",Data_input!H16)</f>
        <v>45658</v>
      </c>
      <c r="I16" s="3">
        <f t="shared" si="2"/>
        <v>48214</v>
      </c>
      <c r="J16" s="4">
        <f>IF(Data_input!I16="","",Data_input!I16)</f>
        <v>3000</v>
      </c>
      <c r="K16" t="str">
        <f>IF(Data_input!J16="","",Data_input!J16)</f>
        <v>MLAKA</v>
      </c>
      <c r="L16" t="str">
        <f>IF(Data_input!K16="","",Data_input!K16)</f>
        <v>Part-Time</v>
      </c>
      <c r="M16" t="str">
        <f>IF(Data_input!L16="","",Data_input!L16)</f>
        <v>Ph.D. (Mgmt.)</v>
      </c>
      <c r="N16" t="str">
        <f>IF(Data_input!M16="","",Data_input!M16)</f>
        <v>Doctor of Philosophy (Management)</v>
      </c>
      <c r="O16" t="str">
        <f>IF(Data_input!N16="","",Data_input!N16)</f>
        <v>Faculty of Business</v>
      </c>
      <c r="P16" s="1">
        <f>IF(Data_input!O16="","",Data_input!O16)</f>
        <v>45694</v>
      </c>
      <c r="Q16" s="1">
        <f t="shared" si="3"/>
        <v>46059</v>
      </c>
      <c r="R16" s="3">
        <f>IF(Data_input!Q16="","",Data_input!Q16)</f>
        <v>45885</v>
      </c>
      <c r="S16" s="3">
        <f t="shared" si="0"/>
        <v>47849</v>
      </c>
      <c r="T16" s="1">
        <f>IF(LEN(TRIM(Data_input!P16))=0,"",Data_input!P16)</f>
        <v>48081</v>
      </c>
      <c r="U16" s="1">
        <f t="shared" si="1"/>
        <v>48214</v>
      </c>
      <c r="V16" s="1">
        <f t="shared" si="4"/>
        <v>46423</v>
      </c>
      <c r="W16" s="1">
        <f>IF(Data_input!R16="","",Data_input!R16)</f>
        <v>46250</v>
      </c>
      <c r="X16" s="1">
        <f>IF(Data_input!S16="","",Data_input!S16)</f>
        <v>46281</v>
      </c>
    </row>
    <row r="17" spans="1:24">
      <c r="A17" t="str">
        <f>IF(Data_input!A17="","",Data_input!A17)</f>
        <v>245RK</v>
      </c>
      <c r="B17" t="str">
        <f>IF(Data_input!B17="","",Data_input!B17)</f>
        <v>250PB258PD</v>
      </c>
      <c r="C17" t="str">
        <f>IF(Data_input!C17="","",Data_input!C17)</f>
        <v>YONG YU KIN</v>
      </c>
      <c r="D17" t="str">
        <f>IF(Data_input!D17="","",Data_input!D17)</f>
        <v>Active in Program</v>
      </c>
      <c r="E17" t="str">
        <f>IF(Data_input!E17="","",Data_input!E17)</f>
        <v>MATR</v>
      </c>
      <c r="F17">
        <f>IF(Data_input!F17="","",Data_input!F17)</f>
        <v>2500</v>
      </c>
      <c r="G17" s="3">
        <f>IF(Data_input!G17="","",Data_input!G17)</f>
        <v>45696</v>
      </c>
      <c r="H17" s="1">
        <f>IF(Data_input!H17="","",Data_input!H17)</f>
        <v>45658</v>
      </c>
      <c r="I17" s="3">
        <f t="shared" si="2"/>
        <v>48214</v>
      </c>
      <c r="J17" s="4">
        <f>IF(Data_input!I17="","",Data_input!I17)</f>
        <v>3000</v>
      </c>
      <c r="K17" t="str">
        <f>IF(Data_input!J17="","",Data_input!J17)</f>
        <v>MLAKA</v>
      </c>
      <c r="L17" t="str">
        <f>IF(Data_input!K17="","",Data_input!K17)</f>
        <v>Part-Time</v>
      </c>
      <c r="M17" t="str">
        <f>IF(Data_input!L17="","",Data_input!L17)</f>
        <v>Ph.D. (Mgmt.)</v>
      </c>
      <c r="N17" t="str">
        <f>IF(Data_input!M17="","",Data_input!M17)</f>
        <v>Doctor of Philosophy (Management)</v>
      </c>
      <c r="O17" t="str">
        <f>IF(Data_input!N17="","",Data_input!N17)</f>
        <v>Faculty of Business</v>
      </c>
      <c r="P17" s="1">
        <f>IF(Data_input!O17="","",Data_input!O17)</f>
        <v>45697</v>
      </c>
      <c r="Q17" s="1">
        <f t="shared" si="3"/>
        <v>46062</v>
      </c>
      <c r="R17" s="3">
        <f>IF(Data_input!Q17="","",Data_input!Q17)</f>
        <v>45886</v>
      </c>
      <c r="S17" s="3">
        <f t="shared" si="0"/>
        <v>47849</v>
      </c>
      <c r="T17" s="1">
        <f>IF(LEN(TRIM(Data_input!P17))=0,"",Data_input!P17)</f>
        <v>48081</v>
      </c>
      <c r="U17" s="1">
        <f t="shared" si="1"/>
        <v>48214</v>
      </c>
      <c r="V17" s="1">
        <f t="shared" si="4"/>
        <v>46426</v>
      </c>
      <c r="W17" s="1">
        <f>IF(Data_input!R17="","",Data_input!R17)</f>
        <v>46251</v>
      </c>
      <c r="X17" s="1">
        <f>IF(Data_input!S17="","",Data_input!S17)</f>
        <v>46312</v>
      </c>
    </row>
    <row r="18" spans="1:24">
      <c r="A18" t="str">
        <f>IF(Data_input!A18="","",Data_input!A18)</f>
        <v>247R7</v>
      </c>
      <c r="B18" t="str">
        <f>IF(Data_input!B18="","",Data_input!B18)</f>
        <v>250PB259PD</v>
      </c>
      <c r="C18" t="str">
        <f>IF(Data_input!C18="","",Data_input!C18)</f>
        <v>WONG KIN HUAT</v>
      </c>
      <c r="D18" t="str">
        <f>IF(Data_input!D18="","",Data_input!D18)</f>
        <v>Active in Program</v>
      </c>
      <c r="E18" t="str">
        <f>IF(Data_input!E18="","",Data_input!E18)</f>
        <v>MATR</v>
      </c>
      <c r="F18">
        <f>IF(Data_input!F18="","",Data_input!F18)</f>
        <v>2500</v>
      </c>
      <c r="G18" s="3">
        <f>IF(Data_input!G18="","",Data_input!G18)</f>
        <v>45740</v>
      </c>
      <c r="H18" s="1">
        <f>IF(Data_input!H18="","",Data_input!H18)</f>
        <v>45658</v>
      </c>
      <c r="I18" s="3">
        <f t="shared" si="2"/>
        <v>48214</v>
      </c>
      <c r="J18" s="4">
        <f>IF(Data_input!I18="","",Data_input!I18)</f>
        <v>3000</v>
      </c>
      <c r="K18" t="str">
        <f>IF(Data_input!J18="","",Data_input!J18)</f>
        <v>MLAKA</v>
      </c>
      <c r="L18" t="str">
        <f>IF(Data_input!K18="","",Data_input!K18)</f>
        <v>Part-Time</v>
      </c>
      <c r="M18" t="str">
        <f>IF(Data_input!L18="","",Data_input!L18)</f>
        <v>Ph.D. (Mgmt.)</v>
      </c>
      <c r="N18" t="str">
        <f>IF(Data_input!M18="","",Data_input!M18)</f>
        <v>Doctor of Philosophy (Management)</v>
      </c>
      <c r="O18" t="str">
        <f>IF(Data_input!N18="","",Data_input!N18)</f>
        <v>Faculty of Business</v>
      </c>
      <c r="P18" s="1">
        <f>IF(Data_input!O18="","",Data_input!O18)</f>
        <v>45741</v>
      </c>
      <c r="Q18" s="1">
        <f t="shared" si="3"/>
        <v>46106</v>
      </c>
      <c r="R18" s="3">
        <f>IF(Data_input!Q18="","",Data_input!Q18)</f>
        <v>46103</v>
      </c>
      <c r="S18" s="3">
        <f t="shared" si="0"/>
        <v>47849</v>
      </c>
      <c r="T18" s="1">
        <f>IF(LEN(TRIM(Data_input!P18))=0,"",Data_input!P18)</f>
        <v>48236</v>
      </c>
      <c r="U18" s="1">
        <f t="shared" si="1"/>
        <v>48214</v>
      </c>
      <c r="V18" s="1">
        <f t="shared" si="4"/>
        <v>46470</v>
      </c>
      <c r="W18" s="1">
        <f>IF(Data_input!R18="","",Data_input!R18)</f>
        <v>46617</v>
      </c>
      <c r="X18" s="1">
        <f>IF(Data_input!S18="","",Data_input!S18)</f>
        <v>46617</v>
      </c>
    </row>
    <row r="19" spans="1:24">
      <c r="A19" t="str">
        <f>IF(Data_input!A19="","",Data_input!A19)</f>
        <v>247R8</v>
      </c>
      <c r="B19" t="str">
        <f>IF(Data_input!B19="","",Data_input!B19)</f>
        <v>250PB260PD</v>
      </c>
      <c r="C19" t="str">
        <f>IF(Data_input!C19="","",Data_input!C19)</f>
        <v>WONG KANG JUN</v>
      </c>
      <c r="D19" t="str">
        <f>IF(Data_input!D19="","",Data_input!D19)</f>
        <v>Active in Program</v>
      </c>
      <c r="E19" t="str">
        <f>IF(Data_input!E19="","",Data_input!E19)</f>
        <v>MATR</v>
      </c>
      <c r="F19">
        <f>IF(Data_input!F19="","",Data_input!F19)</f>
        <v>2500</v>
      </c>
      <c r="G19" s="3">
        <f>IF(Data_input!G19="","",Data_input!G19)</f>
        <v>45740</v>
      </c>
      <c r="H19" s="1">
        <f>IF(Data_input!H19="","",Data_input!H19)</f>
        <v>45658</v>
      </c>
      <c r="I19" s="3">
        <f t="shared" si="2"/>
        <v>48214</v>
      </c>
      <c r="J19" s="4">
        <f>IF(Data_input!I19="","",Data_input!I19)</f>
        <v>3000</v>
      </c>
      <c r="K19" t="str">
        <f>IF(Data_input!J19="","",Data_input!J19)</f>
        <v>MLAKA</v>
      </c>
      <c r="L19" t="str">
        <f>IF(Data_input!K19="","",Data_input!K19)</f>
        <v>Part-Time</v>
      </c>
      <c r="M19" t="str">
        <f>IF(Data_input!L19="","",Data_input!L19)</f>
        <v>Ph.D. (Mgmt.)</v>
      </c>
      <c r="N19" t="str">
        <f>IF(Data_input!M19="","",Data_input!M19)</f>
        <v>Doctor of Philosophy (Management)</v>
      </c>
      <c r="O19" t="str">
        <f>IF(Data_input!N19="","",Data_input!N19)</f>
        <v>Faculty of Business</v>
      </c>
      <c r="P19" s="1">
        <f>IF(Data_input!O19="","",Data_input!O19)</f>
        <v>45742</v>
      </c>
      <c r="Q19" s="1">
        <f t="shared" si="3"/>
        <v>46107</v>
      </c>
      <c r="R19" s="3">
        <f>IF(Data_input!Q19="","",Data_input!Q19)</f>
        <v>46104</v>
      </c>
      <c r="S19" s="3">
        <f t="shared" si="0"/>
        <v>47849</v>
      </c>
      <c r="T19" s="1">
        <f>IF(LEN(TRIM(Data_input!P19))=0,"",Data_input!P19)</f>
        <v>48237</v>
      </c>
      <c r="U19" s="1">
        <f t="shared" si="1"/>
        <v>48214</v>
      </c>
      <c r="V19" s="1">
        <f t="shared" si="4"/>
        <v>46470</v>
      </c>
      <c r="W19" s="1">
        <f>IF(Data_input!R19="","",Data_input!R19)</f>
        <v>46618</v>
      </c>
      <c r="X19" s="1">
        <f>IF(Data_input!S19="","",Data_input!S19)</f>
        <v>46618</v>
      </c>
    </row>
    <row r="20" spans="1:24">
      <c r="A20" t="str">
        <f>IF(Data_input!A20="","",Data_input!A20)</f>
        <v>247R9</v>
      </c>
      <c r="B20" t="str">
        <f>IF(Data_input!B20="","",Data_input!B20)</f>
        <v>250PA213RK</v>
      </c>
      <c r="C20" t="str">
        <f>IF(Data_input!C20="","",Data_input!C20)</f>
        <v xml:space="preserve">AHMAD FAISAL BIN YUSOF  </v>
      </c>
      <c r="D20" t="str">
        <f>IF(Data_input!D20="","",Data_input!D20)</f>
        <v>Active in Program</v>
      </c>
      <c r="E20" t="str">
        <f>IF(Data_input!E20="","",Data_input!E20)</f>
        <v>MATR</v>
      </c>
      <c r="F20">
        <f>IF(Data_input!F20="","",Data_input!F20)</f>
        <v>2500</v>
      </c>
      <c r="G20" s="3">
        <f>IF(Data_input!G20="","",Data_input!G20)</f>
        <v>45662</v>
      </c>
      <c r="H20" s="1">
        <f>IF(Data_input!H20="","",Data_input!H20)</f>
        <v>45658</v>
      </c>
      <c r="I20" s="3">
        <f t="shared" si="2"/>
        <v>48214</v>
      </c>
      <c r="J20" s="4">
        <f>IF(Data_input!I20="","",Data_input!I20)</f>
        <v>3000</v>
      </c>
      <c r="K20" t="str">
        <f>IF(Data_input!J20="","",Data_input!J20)</f>
        <v>MLAKA</v>
      </c>
      <c r="L20" t="str">
        <f>IF(Data_input!K20="","",Data_input!K20)</f>
        <v>Part-Time</v>
      </c>
      <c r="M20" t="str">
        <f>IF(Data_input!L20="","",Data_input!L20)</f>
        <v>Ph.D. (Mgmt.)</v>
      </c>
      <c r="N20" t="str">
        <f>IF(Data_input!M20="","",Data_input!M20)</f>
        <v>Doctor of Philosophy (Management)</v>
      </c>
      <c r="O20" t="str">
        <f>IF(Data_input!N20="","",Data_input!N20)</f>
        <v>Faculty of Business</v>
      </c>
      <c r="P20" s="1">
        <f>IF(Data_input!O20="","",Data_input!O20)</f>
        <v>45663</v>
      </c>
      <c r="Q20" s="1">
        <f t="shared" si="3"/>
        <v>46028</v>
      </c>
      <c r="R20" s="3">
        <f>IF(Data_input!Q20="","",Data_input!Q20)</f>
        <v>46136</v>
      </c>
      <c r="S20" s="3">
        <f t="shared" si="0"/>
        <v>47849</v>
      </c>
      <c r="T20" s="1">
        <f>IF(LEN(TRIM(Data_input!P20))=0,"",Data_input!P20)</f>
        <v>48238</v>
      </c>
      <c r="U20" s="1">
        <f t="shared" si="1"/>
        <v>48214</v>
      </c>
      <c r="V20" s="1">
        <f t="shared" si="4"/>
        <v>46392</v>
      </c>
      <c r="W20" s="1">
        <f>IF(Data_input!R20="","",Data_input!R20)</f>
        <v>46619</v>
      </c>
      <c r="X20" s="1">
        <f>IF(Data_input!S20="","",Data_input!S20)</f>
        <v>46619</v>
      </c>
    </row>
    <row r="21" spans="1:24">
      <c r="A21" t="str">
        <f>IF(Data_input!A21="","",Data_input!A21)</f>
        <v>243A9</v>
      </c>
      <c r="B21" t="str">
        <f>IF(Data_input!B21="","",Data_input!B21)</f>
        <v>250PK245T1</v>
      </c>
      <c r="C21" t="str">
        <f>IF(Data_input!C21="","",Data_input!C21)</f>
        <v>HANG JIA YEE</v>
      </c>
      <c r="D21" t="str">
        <f>IF(Data_input!D21="","",Data_input!D21)</f>
        <v>Active in Program</v>
      </c>
      <c r="E21" t="str">
        <f>IF(Data_input!E21="","",Data_input!E21)</f>
        <v>MATR</v>
      </c>
      <c r="F21">
        <f>IF(Data_input!F21="","",Data_input!F21)</f>
        <v>2500</v>
      </c>
      <c r="G21" s="3">
        <f>IF(Data_input!G21="","",Data_input!G21)</f>
        <v>45663</v>
      </c>
      <c r="H21" s="1">
        <f>IF(Data_input!H21="","",Data_input!H21)</f>
        <v>45658</v>
      </c>
      <c r="I21" s="3">
        <f t="shared" si="2"/>
        <v>46753</v>
      </c>
      <c r="J21" s="4">
        <f>IF(Data_input!I21="","",Data_input!I21)</f>
        <v>3000</v>
      </c>
      <c r="K21" t="str">
        <f>IF(Data_input!J21="","",Data_input!J21)</f>
        <v>MLAKA</v>
      </c>
      <c r="L21" t="str">
        <f>IF(Data_input!K21="","",Data_input!K21)</f>
        <v>Full-Time</v>
      </c>
      <c r="M21" t="str">
        <f>IF(Data_input!L21="","",Data_input!L21)</f>
        <v>Master (Mgmt)</v>
      </c>
      <c r="N21" t="str">
        <f>IF(Data_input!M21="","",Data_input!M21)</f>
        <v>Master of Philosophy (Management)</v>
      </c>
      <c r="O21" t="str">
        <f>IF(Data_input!N21="","",Data_input!N21)</f>
        <v>Faculty of Business</v>
      </c>
      <c r="P21" s="1">
        <f>IF(Data_input!O21="","",Data_input!O21)</f>
        <v>45664</v>
      </c>
      <c r="Q21" s="1">
        <f t="shared" si="3"/>
        <v>46029</v>
      </c>
      <c r="R21" s="3">
        <f>IF(Data_input!Q21="","",Data_input!Q21)</f>
        <v>45768</v>
      </c>
      <c r="S21" s="3">
        <f t="shared" si="0"/>
        <v>46388</v>
      </c>
      <c r="T21" s="1">
        <f>IF(LEN(TRIM(Data_input!P21))=0,"",Data_input!P21)</f>
        <v>46508</v>
      </c>
      <c r="U21" s="1">
        <f t="shared" si="1"/>
        <v>46753</v>
      </c>
      <c r="V21" s="1">
        <f t="shared" si="4"/>
        <v>46118</v>
      </c>
      <c r="W21" s="1">
        <f>IF(Data_input!R21="","",Data_input!R21)</f>
        <v>45828</v>
      </c>
      <c r="X21" s="1" t="str">
        <f>IF(Data_input!S21="","",Data_input!S21)</f>
        <v/>
      </c>
    </row>
    <row r="22" spans="1:24">
      <c r="A22" t="str">
        <f>IF(Data_input!A22="","",Data_input!A22)</f>
        <v>248RK</v>
      </c>
      <c r="B22" t="str">
        <f>IF(Data_input!B22="","",Data_input!B22)</f>
        <v>250PH272RM</v>
      </c>
      <c r="C22" t="str">
        <f>IF(Data_input!C22="","",Data_input!C22)</f>
        <v xml:space="preserve">LEE KOK MING  </v>
      </c>
      <c r="D22" t="str">
        <f>IF(Data_input!D22="","",Data_input!D22)</f>
        <v>Active in Program</v>
      </c>
      <c r="E22" t="str">
        <f>IF(Data_input!E22="","",Data_input!E22)</f>
        <v>MATR</v>
      </c>
      <c r="F22">
        <f>IF(Data_input!F22="","",Data_input!F22)</f>
        <v>2500</v>
      </c>
      <c r="G22" s="3">
        <f>IF(Data_input!G22="","",Data_input!G22)</f>
        <v>45685</v>
      </c>
      <c r="H22" s="1">
        <f>IF(Data_input!H22="","",Data_input!H22)</f>
        <v>45658</v>
      </c>
      <c r="I22" s="3">
        <f t="shared" si="2"/>
        <v>46753</v>
      </c>
      <c r="J22" s="4">
        <f>IF(Data_input!I22="","",Data_input!I22)</f>
        <v>3000</v>
      </c>
      <c r="K22" t="str">
        <f>IF(Data_input!J22="","",Data_input!J22)</f>
        <v>MLAKA</v>
      </c>
      <c r="L22" t="str">
        <f>IF(Data_input!K22="","",Data_input!K22)</f>
        <v>Full-Time</v>
      </c>
      <c r="M22" t="str">
        <f>IF(Data_input!L22="","",Data_input!L22)</f>
        <v>Master (Mgmt)</v>
      </c>
      <c r="N22" t="str">
        <f>IF(Data_input!M22="","",Data_input!M22)</f>
        <v>Master of Philosophy (Management)</v>
      </c>
      <c r="O22" t="str">
        <f>IF(Data_input!N22="","",Data_input!N22)</f>
        <v>Faculty of Business</v>
      </c>
      <c r="P22" s="1">
        <f>IF(Data_input!O22="","",Data_input!O22)</f>
        <v>45686</v>
      </c>
      <c r="Q22" s="1">
        <f t="shared" si="3"/>
        <v>46051</v>
      </c>
      <c r="R22" s="3">
        <f>IF(Data_input!Q22="","",Data_input!Q22)</f>
        <v>45798</v>
      </c>
      <c r="S22" s="3">
        <f t="shared" si="0"/>
        <v>46388</v>
      </c>
      <c r="T22" s="1">
        <f>IF(LEN(TRIM(Data_input!P22))=0,"",Data_input!P22)</f>
        <v>46532</v>
      </c>
      <c r="U22" s="1">
        <f t="shared" si="1"/>
        <v>46753</v>
      </c>
      <c r="V22" s="1">
        <f t="shared" si="4"/>
        <v>46140</v>
      </c>
      <c r="W22" s="1">
        <f>IF(Data_input!R22="","",Data_input!R22)</f>
        <v>45798</v>
      </c>
      <c r="X22" s="1" t="str">
        <f>IF(Data_input!S22="","",Data_input!S22)</f>
        <v/>
      </c>
    </row>
    <row r="23" spans="1:24">
      <c r="A23" t="str">
        <f>IF(Data_input!A23="","",Data_input!A23)</f>
        <v>249YH</v>
      </c>
      <c r="B23" t="str">
        <f>IF(Data_input!B23="","",Data_input!B23)</f>
        <v>250PN281Q2</v>
      </c>
      <c r="C23" t="str">
        <f>IF(Data_input!C23="","",Data_input!C23)</f>
        <v>SITI NUR AIN BINTI RAHMAN</v>
      </c>
      <c r="D23" t="str">
        <f>IF(Data_input!D23="","",Data_input!D23)</f>
        <v>Active in Program</v>
      </c>
      <c r="E23" t="str">
        <f>IF(Data_input!E23="","",Data_input!E23)</f>
        <v>MATR</v>
      </c>
      <c r="F23">
        <f>IF(Data_input!F23="","",Data_input!F23)</f>
        <v>2500</v>
      </c>
      <c r="G23" s="3">
        <f>IF(Data_input!G23="","",Data_input!G23)</f>
        <v>45686</v>
      </c>
      <c r="H23" s="1">
        <f>IF(Data_input!H23="","",Data_input!H23)</f>
        <v>45658</v>
      </c>
      <c r="I23" s="3">
        <f t="shared" si="2"/>
        <v>46753</v>
      </c>
      <c r="J23" s="4">
        <f>IF(Data_input!I23="","",Data_input!I23)</f>
        <v>3000</v>
      </c>
      <c r="K23" t="str">
        <f>IF(Data_input!J23="","",Data_input!J23)</f>
        <v>MLAKA</v>
      </c>
      <c r="L23" t="str">
        <f>IF(Data_input!K23="","",Data_input!K23)</f>
        <v>Full-Time</v>
      </c>
      <c r="M23" t="str">
        <f>IF(Data_input!L23="","",Data_input!L23)</f>
        <v>Master (Mgmt)</v>
      </c>
      <c r="N23" t="str">
        <f>IF(Data_input!M23="","",Data_input!M23)</f>
        <v>Master of Philosophy (Management)</v>
      </c>
      <c r="O23" t="str">
        <f>IF(Data_input!N23="","",Data_input!N23)</f>
        <v>Faculty of Business</v>
      </c>
      <c r="P23" s="1">
        <f>IF(Data_input!O23="","",Data_input!O23)</f>
        <v>45687</v>
      </c>
      <c r="Q23" s="1">
        <f t="shared" si="3"/>
        <v>46052</v>
      </c>
      <c r="R23" s="3">
        <f>IF(Data_input!Q23="","",Data_input!Q23)</f>
        <v>45798</v>
      </c>
      <c r="S23" s="3">
        <f t="shared" si="0"/>
        <v>46388</v>
      </c>
      <c r="T23" s="1">
        <f>IF(LEN(TRIM(Data_input!P23))=0,"",Data_input!P23)</f>
        <v>46539</v>
      </c>
      <c r="U23" s="1">
        <f t="shared" si="1"/>
        <v>46753</v>
      </c>
      <c r="V23" s="1">
        <f t="shared" si="4"/>
        <v>46141</v>
      </c>
      <c r="W23" s="1">
        <f>IF(Data_input!R23="","",Data_input!R23)</f>
        <v>45830</v>
      </c>
      <c r="X23" s="1" t="str">
        <f>IF(Data_input!S23="","",Data_input!S23)</f>
        <v/>
      </c>
    </row>
    <row r="24" spans="1:24">
      <c r="A24" t="str">
        <f>IF(Data_input!A24="","",Data_input!A24)</f>
        <v>2468Z</v>
      </c>
      <c r="B24" t="str">
        <f>IF(Data_input!B24="","",Data_input!B24)</f>
        <v>250PM269QD</v>
      </c>
      <c r="C24" t="str">
        <f>IF(Data_input!C24="","",Data_input!C24)</f>
        <v xml:space="preserve">RAHUL KUMAR SINGH  </v>
      </c>
      <c r="D24" t="str">
        <f>IF(Data_input!D24="","",Data_input!D24)</f>
        <v>Active in Program</v>
      </c>
      <c r="E24" t="str">
        <f>IF(Data_input!E24="","",Data_input!E24)</f>
        <v>MATR</v>
      </c>
      <c r="F24">
        <f>IF(Data_input!F24="","",Data_input!F24)</f>
        <v>2500</v>
      </c>
      <c r="G24" s="3">
        <f>IF(Data_input!G24="","",Data_input!G24)</f>
        <v>45710</v>
      </c>
      <c r="H24" s="1">
        <f>IF(Data_input!H24="","",Data_input!H24)</f>
        <v>45658</v>
      </c>
      <c r="I24" s="3">
        <f t="shared" si="2"/>
        <v>46753</v>
      </c>
      <c r="J24" s="4">
        <f>IF(Data_input!I24="","",Data_input!I24)</f>
        <v>3000</v>
      </c>
      <c r="K24" t="str">
        <f>IF(Data_input!J24="","",Data_input!J24)</f>
        <v>MLAKA</v>
      </c>
      <c r="L24" t="str">
        <f>IF(Data_input!K24="","",Data_input!K24)</f>
        <v>Full-Time</v>
      </c>
      <c r="M24" t="str">
        <f>IF(Data_input!L24="","",Data_input!L24)</f>
        <v>Master (Mgmt)</v>
      </c>
      <c r="N24" t="str">
        <f>IF(Data_input!M24="","",Data_input!M24)</f>
        <v>Master of Philosophy (Management)</v>
      </c>
      <c r="O24" t="str">
        <f>IF(Data_input!N24="","",Data_input!N24)</f>
        <v>Faculty of Business</v>
      </c>
      <c r="P24" s="1">
        <f>IF(Data_input!O24="","",Data_input!O24)</f>
        <v>45711</v>
      </c>
      <c r="Q24" s="1">
        <f t="shared" si="3"/>
        <v>46076</v>
      </c>
      <c r="R24" s="3">
        <f>IF(Data_input!Q24="","",Data_input!Q24)</f>
        <v>45921</v>
      </c>
      <c r="S24" s="3">
        <f t="shared" si="0"/>
        <v>46388</v>
      </c>
      <c r="T24" s="1">
        <f>IF(LEN(TRIM(Data_input!P24))=0,"",Data_input!P24)</f>
        <v>46631</v>
      </c>
      <c r="U24" s="1">
        <f t="shared" si="1"/>
        <v>46753</v>
      </c>
      <c r="V24" s="1">
        <f t="shared" si="4"/>
        <v>46164</v>
      </c>
      <c r="W24" s="1">
        <f>IF(Data_input!R24="","",Data_input!R24)</f>
        <v>45922</v>
      </c>
      <c r="X24" s="1" t="str">
        <f>IF(Data_input!S24="","",Data_input!S24)</f>
        <v/>
      </c>
    </row>
    <row r="25" spans="1:24">
      <c r="A25" t="str">
        <f>IF(Data_input!A25="","",Data_input!A25)</f>
        <v>247JK</v>
      </c>
      <c r="B25" t="str">
        <f>IF(Data_input!B25="","",Data_input!B25)</f>
        <v>250PJ258RD</v>
      </c>
      <c r="C25" t="str">
        <f>IF(Data_input!C25="","",Data_input!C25)</f>
        <v xml:space="preserve">CHAN WEI HONG  </v>
      </c>
      <c r="D25" t="str">
        <f>IF(Data_input!D25="","",Data_input!D25)</f>
        <v>Active in Program</v>
      </c>
      <c r="E25" t="str">
        <f>IF(Data_input!E25="","",Data_input!E25)</f>
        <v>MATR</v>
      </c>
      <c r="F25">
        <f>IF(Data_input!F25="","",Data_input!F25)</f>
        <v>2500</v>
      </c>
      <c r="G25" s="3">
        <f>IF(Data_input!G25="","",Data_input!G25)</f>
        <v>45711</v>
      </c>
      <c r="H25" s="1">
        <f>IF(Data_input!H25="","",Data_input!H25)</f>
        <v>45658</v>
      </c>
      <c r="I25" s="3">
        <f t="shared" si="2"/>
        <v>46753</v>
      </c>
      <c r="J25" s="4">
        <f>IF(Data_input!I25="","",Data_input!I25)</f>
        <v>3000</v>
      </c>
      <c r="K25" t="str">
        <f>IF(Data_input!J25="","",Data_input!J25)</f>
        <v>MLAKA</v>
      </c>
      <c r="L25" t="str">
        <f>IF(Data_input!K25="","",Data_input!K25)</f>
        <v>Full-Time</v>
      </c>
      <c r="M25" t="str">
        <f>IF(Data_input!L25="","",Data_input!L25)</f>
        <v>Master (Law)</v>
      </c>
      <c r="N25" t="str">
        <f>IF(Data_input!M25="","",Data_input!M25)</f>
        <v xml:space="preserve">Master of Laws </v>
      </c>
      <c r="O25" t="str">
        <f>IF(Data_input!N25="","",Data_input!N25)</f>
        <v>Faculty of Law</v>
      </c>
      <c r="P25" s="1">
        <f>IF(Data_input!O25="","",Data_input!O25)</f>
        <v>45712</v>
      </c>
      <c r="Q25" s="1">
        <f t="shared" si="3"/>
        <v>46077</v>
      </c>
      <c r="R25" s="3">
        <f>IF(Data_input!Q25="","",Data_input!Q25)</f>
        <v>45890</v>
      </c>
      <c r="S25" s="3">
        <f t="shared" si="0"/>
        <v>46388</v>
      </c>
      <c r="T25" s="1">
        <f>IF(LEN(TRIM(Data_input!P25))=0,"",Data_input!P25)</f>
        <v>46661</v>
      </c>
      <c r="U25" s="1">
        <f t="shared" si="1"/>
        <v>46753</v>
      </c>
      <c r="V25" s="1">
        <f t="shared" si="4"/>
        <v>46165</v>
      </c>
      <c r="W25" s="1">
        <f>IF(Data_input!R25="","",Data_input!R25)</f>
        <v>45931</v>
      </c>
      <c r="X25" s="1" t="str">
        <f>IF(Data_input!S25="","",Data_input!S25)</f>
        <v/>
      </c>
    </row>
    <row r="26" spans="1:24">
      <c r="A26" t="str">
        <f>IF(Data_input!A26="","",Data_input!A26)</f>
        <v>245PL</v>
      </c>
      <c r="B26" t="str">
        <f>IF(Data_input!B26="","",Data_input!B26)</f>
        <v>250PL293T1</v>
      </c>
      <c r="C26" t="str">
        <f>IF(Data_input!C26="","",Data_input!C26)</f>
        <v xml:space="preserve">NURUL HUDA BINTI AZIZ  </v>
      </c>
      <c r="D26" t="str">
        <f>IF(Data_input!D26="","",Data_input!D26)</f>
        <v>Active in Program</v>
      </c>
      <c r="E26" t="str">
        <f>IF(Data_input!E26="","",Data_input!E26)</f>
        <v>MATR</v>
      </c>
      <c r="F26">
        <f>IF(Data_input!F26="","",Data_input!F26)</f>
        <v>2500</v>
      </c>
      <c r="G26" s="3">
        <f>IF(Data_input!G26="","",Data_input!G26)</f>
        <v>45689</v>
      </c>
      <c r="H26" s="1">
        <f>IF(Data_input!H26="","",Data_input!H26)</f>
        <v>45658</v>
      </c>
      <c r="I26" s="3">
        <f t="shared" si="2"/>
        <v>46753</v>
      </c>
      <c r="J26" s="4">
        <f>IF(Data_input!I26="","",Data_input!I26)</f>
        <v>3000</v>
      </c>
      <c r="K26" t="str">
        <f>IF(Data_input!J26="","",Data_input!J26)</f>
        <v>MLAKA</v>
      </c>
      <c r="L26" t="str">
        <f>IF(Data_input!K26="","",Data_input!K26)</f>
        <v>Full-Time</v>
      </c>
      <c r="M26" t="str">
        <f>IF(Data_input!L26="","",Data_input!L26)</f>
        <v>Master (Law)</v>
      </c>
      <c r="N26" t="str">
        <f>IF(Data_input!M26="","",Data_input!M26)</f>
        <v xml:space="preserve">Master of Laws </v>
      </c>
      <c r="O26" t="str">
        <f>IF(Data_input!N26="","",Data_input!N26)</f>
        <v>Faculty of Law</v>
      </c>
      <c r="P26" s="1">
        <f>IF(Data_input!O26="","",Data_input!O26)</f>
        <v>45690</v>
      </c>
      <c r="Q26" s="1">
        <f t="shared" si="3"/>
        <v>46055</v>
      </c>
      <c r="R26" s="3">
        <f>IF(Data_input!Q26="","",Data_input!Q26)</f>
        <v>45927</v>
      </c>
      <c r="S26" s="3">
        <f t="shared" si="0"/>
        <v>46388</v>
      </c>
      <c r="T26" s="1">
        <f>IF(LEN(TRIM(Data_input!P26))=0,"",Data_input!P26)</f>
        <v>46692</v>
      </c>
      <c r="U26" s="1">
        <f t="shared" si="1"/>
        <v>46753</v>
      </c>
      <c r="V26" s="1">
        <f t="shared" si="4"/>
        <v>46143</v>
      </c>
      <c r="W26" s="1">
        <f>IF(Data_input!R26="","",Data_input!R26)</f>
        <v>45952</v>
      </c>
      <c r="X26" s="1" t="str">
        <f>IF(Data_input!S26="","",Data_input!S26)</f>
        <v/>
      </c>
    </row>
    <row r="27" spans="1:24">
      <c r="A27" t="str">
        <f>IF(Data_input!A27="","",Data_input!A27)</f>
        <v>244XM</v>
      </c>
      <c r="B27" t="str">
        <f>IF(Data_input!B27="","",Data_input!B27)</f>
        <v>250PR241PD</v>
      </c>
      <c r="C27" t="str">
        <f>IF(Data_input!C27="","",Data_input!C27)</f>
        <v xml:space="preserve">MOHAMMAD ALI KHAN </v>
      </c>
      <c r="D27" t="str">
        <f>IF(Data_input!D27="","",Data_input!D27)</f>
        <v>Active in Program</v>
      </c>
      <c r="E27" t="str">
        <f>IF(Data_input!E27="","",Data_input!E27)</f>
        <v>MATR</v>
      </c>
      <c r="F27">
        <f>IF(Data_input!F27="","",Data_input!F27)</f>
        <v>2500</v>
      </c>
      <c r="G27" s="3">
        <f>IF(Data_input!G27="","",Data_input!G27)</f>
        <v>45690</v>
      </c>
      <c r="H27" s="1">
        <f>IF(Data_input!H27="","",Data_input!H27)</f>
        <v>45658</v>
      </c>
      <c r="I27" s="3">
        <f t="shared" si="2"/>
        <v>46753</v>
      </c>
      <c r="J27" s="4">
        <f>IF(Data_input!I27="","",Data_input!I27)</f>
        <v>3000</v>
      </c>
      <c r="K27" t="str">
        <f>IF(Data_input!J27="","",Data_input!J27)</f>
        <v>MLAKA</v>
      </c>
      <c r="L27" t="str">
        <f>IF(Data_input!K27="","",Data_input!K27)</f>
        <v>Full-Time</v>
      </c>
      <c r="M27" t="str">
        <f>IF(Data_input!L27="","",Data_input!L27)</f>
        <v>Master (Law)</v>
      </c>
      <c r="N27" t="str">
        <f>IF(Data_input!M27="","",Data_input!M27)</f>
        <v xml:space="preserve">Master of Laws </v>
      </c>
      <c r="O27" t="str">
        <f>IF(Data_input!N27="","",Data_input!N27)</f>
        <v>Faculty of Law</v>
      </c>
      <c r="P27" s="1">
        <f>IF(Data_input!O27="","",Data_input!O27)</f>
        <v>45691</v>
      </c>
      <c r="Q27" s="1">
        <f t="shared" si="3"/>
        <v>46056</v>
      </c>
      <c r="R27" s="3">
        <f>IF(Data_input!Q27="","",Data_input!Q27)</f>
        <v>46059</v>
      </c>
      <c r="S27" s="3">
        <f t="shared" si="0"/>
        <v>46388</v>
      </c>
      <c r="T27" s="1">
        <f>IF(LEN(TRIM(Data_input!P27))=0,"",Data_input!P27)</f>
        <v>46755</v>
      </c>
      <c r="U27" s="1">
        <f t="shared" si="1"/>
        <v>46753</v>
      </c>
      <c r="V27" s="1">
        <f t="shared" si="4"/>
        <v>46144</v>
      </c>
      <c r="W27" s="1">
        <f>IF(Data_input!R27="","",Data_input!R27)</f>
        <v>46154</v>
      </c>
      <c r="X27" s="1" t="str">
        <f>IF(Data_input!S27="","",Data_input!S27)</f>
        <v/>
      </c>
    </row>
    <row r="28" spans="1:24">
      <c r="A28" t="str">
        <f>IF(Data_input!A28="","",Data_input!A28)</f>
        <v>2495N</v>
      </c>
      <c r="B28" t="str">
        <f>IF(Data_input!B28="","",Data_input!B28)</f>
        <v>250PB237QK</v>
      </c>
      <c r="C28" t="str">
        <f>IF(Data_input!C28="","",Data_input!C28)</f>
        <v xml:space="preserve">TAN JIA WEI  </v>
      </c>
      <c r="D28" t="str">
        <f>IF(Data_input!D28="","",Data_input!D28)</f>
        <v>Active in Program</v>
      </c>
      <c r="E28" t="str">
        <f>IF(Data_input!E28="","",Data_input!E28)</f>
        <v>MATR</v>
      </c>
      <c r="F28">
        <f>IF(Data_input!F28="","",Data_input!F28)</f>
        <v>2500</v>
      </c>
      <c r="G28" s="3">
        <f>IF(Data_input!G28="","",Data_input!G28)</f>
        <v>45691</v>
      </c>
      <c r="H28" s="1">
        <f>IF(Data_input!H28="","",Data_input!H28)</f>
        <v>45658</v>
      </c>
      <c r="I28" s="3">
        <f t="shared" si="2"/>
        <v>46753</v>
      </c>
      <c r="J28" s="4">
        <f>IF(Data_input!I28="","",Data_input!I28)</f>
        <v>3000</v>
      </c>
      <c r="K28" t="str">
        <f>IF(Data_input!J28="","",Data_input!J28)</f>
        <v>MLAKA</v>
      </c>
      <c r="L28" t="str">
        <f>IF(Data_input!K28="","",Data_input!K28)</f>
        <v>Full-Time</v>
      </c>
      <c r="M28" t="str">
        <f>IF(Data_input!L28="","",Data_input!L28)</f>
        <v>Master (Law)</v>
      </c>
      <c r="N28" t="str">
        <f>IF(Data_input!M28="","",Data_input!M28)</f>
        <v xml:space="preserve">Master of Laws </v>
      </c>
      <c r="O28" t="str">
        <f>IF(Data_input!N28="","",Data_input!N28)</f>
        <v>Faculty of Law</v>
      </c>
      <c r="P28" s="1">
        <f>IF(Data_input!O28="","",Data_input!O28)</f>
        <v>45692</v>
      </c>
      <c r="Q28" s="1">
        <f t="shared" si="3"/>
        <v>46057</v>
      </c>
      <c r="R28" s="3">
        <f>IF(Data_input!Q28="","",Data_input!Q28)</f>
        <v>46060</v>
      </c>
      <c r="S28" s="3">
        <f t="shared" si="0"/>
        <v>46388</v>
      </c>
      <c r="T28" s="1">
        <f>IF(LEN(TRIM(Data_input!P28))=0,"",Data_input!P28)</f>
        <v>46760</v>
      </c>
      <c r="U28" s="1">
        <f t="shared" si="1"/>
        <v>46753</v>
      </c>
      <c r="V28" s="1">
        <f t="shared" si="4"/>
        <v>46145</v>
      </c>
      <c r="W28" s="1">
        <f>IF(Data_input!R28="","",Data_input!R28)</f>
        <v>46155</v>
      </c>
      <c r="X28" s="1" t="str">
        <f>IF(Data_input!S28="","",Data_input!S28)</f>
        <v/>
      </c>
    </row>
    <row r="29" spans="1:24">
      <c r="A29" t="str">
        <f>IF(Data_input!A29="","",Data_input!A29)</f>
        <v>246ZP</v>
      </c>
      <c r="B29" t="str">
        <f>IF(Data_input!B29="","",Data_input!B29)</f>
        <v>250PC276R2</v>
      </c>
      <c r="C29" t="str">
        <f>IF(Data_input!C29="","",Data_input!C29)</f>
        <v xml:space="preserve">FARHAN BIN ISMAIL  </v>
      </c>
      <c r="D29" t="str">
        <f>IF(Data_input!D29="","",Data_input!D29)</f>
        <v>Active in Program</v>
      </c>
      <c r="E29" t="str">
        <f>IF(Data_input!E29="","",Data_input!E29)</f>
        <v>MATR</v>
      </c>
      <c r="F29">
        <f>IF(Data_input!F29="","",Data_input!F29)</f>
        <v>2500</v>
      </c>
      <c r="G29" s="3">
        <f>IF(Data_input!G29="","",Data_input!G29)</f>
        <v>45671</v>
      </c>
      <c r="H29" s="1">
        <f>IF(Data_input!H29="","",Data_input!H29)</f>
        <v>45658</v>
      </c>
      <c r="I29" s="3">
        <f t="shared" si="2"/>
        <v>46753</v>
      </c>
      <c r="J29" s="4">
        <f>IF(Data_input!I29="","",Data_input!I29)</f>
        <v>3000</v>
      </c>
      <c r="K29" t="str">
        <f>IF(Data_input!J29="","",Data_input!J29)</f>
        <v>MLAKA</v>
      </c>
      <c r="L29" t="str">
        <f>IF(Data_input!K29="","",Data_input!K29)</f>
        <v>Full-Time</v>
      </c>
      <c r="M29" t="str">
        <f>IF(Data_input!L29="","",Data_input!L29)</f>
        <v>Master (Law)</v>
      </c>
      <c r="N29" t="str">
        <f>IF(Data_input!M29="","",Data_input!M29)</f>
        <v xml:space="preserve">Master of Laws </v>
      </c>
      <c r="O29" t="str">
        <f>IF(Data_input!N29="","",Data_input!N29)</f>
        <v>Faculty of Law</v>
      </c>
      <c r="P29" s="1">
        <f>IF(Data_input!O29="","",Data_input!O29)</f>
        <v>45672</v>
      </c>
      <c r="Q29" s="1">
        <f t="shared" si="3"/>
        <v>46037</v>
      </c>
      <c r="R29" s="3">
        <f>IF(Data_input!Q29="","",Data_input!Q29)</f>
        <v>46061</v>
      </c>
      <c r="S29" s="3">
        <f t="shared" si="0"/>
        <v>46388</v>
      </c>
      <c r="T29" s="1">
        <f>IF(LEN(TRIM(Data_input!P29))=0,"",Data_input!P29)</f>
        <v>46764</v>
      </c>
      <c r="U29" s="1">
        <f t="shared" si="1"/>
        <v>46753</v>
      </c>
      <c r="V29" s="1">
        <f t="shared" si="4"/>
        <v>46126</v>
      </c>
      <c r="W29" s="1">
        <f>IF(Data_input!R29="","",Data_input!R29)</f>
        <v>46135</v>
      </c>
      <c r="X29" s="1" t="str">
        <f>IF(Data_input!S29="","",Data_input!S29)</f>
        <v/>
      </c>
    </row>
    <row r="30" spans="1:24">
      <c r="A30" t="str">
        <f>IF(Data_input!A30="","",Data_input!A30)</f>
        <v>247QR</v>
      </c>
      <c r="B30" t="str">
        <f>IF(Data_input!B30="","",Data_input!B30)</f>
        <v>250PE261RJ</v>
      </c>
      <c r="C30" t="str">
        <f>IF(Data_input!C30="","",Data_input!C30)</f>
        <v>LIM PEI YEE</v>
      </c>
      <c r="D30" t="str">
        <f>IF(Data_input!D30="","",Data_input!D30)</f>
        <v>Active in Program</v>
      </c>
      <c r="E30" t="str">
        <f>IF(Data_input!E30="","",Data_input!E30)</f>
        <v>MATR</v>
      </c>
      <c r="F30">
        <f>IF(Data_input!F30="","",Data_input!F30)</f>
        <v>2500</v>
      </c>
      <c r="G30" s="3">
        <f>IF(Data_input!G30="","",Data_input!G30)</f>
        <v>45672</v>
      </c>
      <c r="H30" s="1">
        <f>IF(Data_input!H30="","",Data_input!H30)</f>
        <v>45658</v>
      </c>
      <c r="I30" s="3">
        <f t="shared" si="2"/>
        <v>46753</v>
      </c>
      <c r="J30" s="4">
        <f>IF(Data_input!I30="","",Data_input!I30)</f>
        <v>3000</v>
      </c>
      <c r="K30" t="str">
        <f>IF(Data_input!J30="","",Data_input!J30)</f>
        <v>MLAKA</v>
      </c>
      <c r="L30" t="str">
        <f>IF(Data_input!K30="","",Data_input!K30)</f>
        <v>Full-Time</v>
      </c>
      <c r="M30" t="str">
        <f>IF(Data_input!L30="","",Data_input!L30)</f>
        <v>Master (Mgmt)</v>
      </c>
      <c r="N30" t="str">
        <f>IF(Data_input!M30="","",Data_input!M30)</f>
        <v>Master of Philosophy (Management)</v>
      </c>
      <c r="O30" t="str">
        <f>IF(Data_input!N30="","",Data_input!N30)</f>
        <v>Faculty of Business</v>
      </c>
      <c r="P30" s="1">
        <f>IF(Data_input!O30="","",Data_input!O30)</f>
        <v>45673</v>
      </c>
      <c r="Q30" s="1">
        <f t="shared" si="3"/>
        <v>46038</v>
      </c>
      <c r="R30" s="3">
        <f>IF(Data_input!Q30="","",Data_input!Q30)</f>
        <v>46059</v>
      </c>
      <c r="S30" s="3">
        <f t="shared" si="0"/>
        <v>46388</v>
      </c>
      <c r="T30" s="1">
        <f>IF(LEN(TRIM(Data_input!P30))=0,"",Data_input!P30)</f>
        <v>46770</v>
      </c>
      <c r="U30" s="1">
        <f t="shared" si="1"/>
        <v>46753</v>
      </c>
      <c r="V30" s="1">
        <f t="shared" si="4"/>
        <v>46127</v>
      </c>
      <c r="W30" s="1">
        <f>IF(Data_input!R30="","",Data_input!R30)</f>
        <v>46157</v>
      </c>
      <c r="X30" s="1" t="str">
        <f>IF(Data_input!S30="","",Data_input!S30)</f>
        <v/>
      </c>
    </row>
    <row r="31" spans="1:24">
      <c r="A31" t="str">
        <f>IF(Data_input!A31="","",Data_input!A31)</f>
        <v>248R7</v>
      </c>
      <c r="B31" t="str">
        <f>IF(Data_input!B31="","",Data_input!B31)</f>
        <v>250PG248PD</v>
      </c>
      <c r="C31" t="str">
        <f>IF(Data_input!C31="","",Data_input!C31)</f>
        <v xml:space="preserve">RAJESH PRASAD  </v>
      </c>
      <c r="D31" t="str">
        <f>IF(Data_input!D31="","",Data_input!D31)</f>
        <v>Active in Program</v>
      </c>
      <c r="E31" t="str">
        <f>IF(Data_input!E31="","",Data_input!E31)</f>
        <v>MATR</v>
      </c>
      <c r="F31">
        <f>IF(Data_input!F31="","",Data_input!F31)</f>
        <v>2500</v>
      </c>
      <c r="G31" s="3">
        <f>IF(Data_input!G31="","",Data_input!G31)</f>
        <v>45673</v>
      </c>
      <c r="H31" s="1">
        <f>IF(Data_input!H31="","",Data_input!H31)</f>
        <v>45658</v>
      </c>
      <c r="I31" s="3">
        <f t="shared" si="2"/>
        <v>47484</v>
      </c>
      <c r="J31" s="4">
        <f>IF(Data_input!I31="","",Data_input!I31)</f>
        <v>3000</v>
      </c>
      <c r="K31" t="str">
        <f>IF(Data_input!J31="","",Data_input!J31)</f>
        <v>MLAKA</v>
      </c>
      <c r="L31" t="str">
        <f>IF(Data_input!K31="","",Data_input!K31)</f>
        <v>Part-Time</v>
      </c>
      <c r="M31" t="str">
        <f>IF(Data_input!L31="","",Data_input!L31)</f>
        <v>Master (Mgmt)</v>
      </c>
      <c r="N31" t="str">
        <f>IF(Data_input!M31="","",Data_input!M31)</f>
        <v>Master of Philosophy (Management)</v>
      </c>
      <c r="O31" t="str">
        <f>IF(Data_input!N31="","",Data_input!N31)</f>
        <v>Faculty of Business</v>
      </c>
      <c r="P31" s="1">
        <f>IF(Data_input!O31="","",Data_input!O31)</f>
        <v>45674</v>
      </c>
      <c r="Q31" s="1">
        <f t="shared" si="3"/>
        <v>46039</v>
      </c>
      <c r="R31" s="3">
        <f>IF(Data_input!Q31="","",Data_input!Q31)</f>
        <v>45753</v>
      </c>
      <c r="S31" s="3">
        <f t="shared" si="0"/>
        <v>47119</v>
      </c>
      <c r="T31" s="1">
        <f>IF(LEN(TRIM(Data_input!P31))=0,"",Data_input!P31)</f>
        <v>47256</v>
      </c>
      <c r="U31" s="1">
        <f t="shared" si="1"/>
        <v>47484</v>
      </c>
      <c r="V31" s="1">
        <f t="shared" si="4"/>
        <v>46128</v>
      </c>
      <c r="W31" s="1">
        <f>IF(Data_input!R31="","",Data_input!R31)</f>
        <v>45828</v>
      </c>
      <c r="X31" s="1" t="str">
        <f>IF(Data_input!S31="","",Data_input!S31)</f>
        <v/>
      </c>
    </row>
    <row r="32" spans="1:24">
      <c r="A32" t="str">
        <f>IF(Data_input!A32="","",Data_input!A32)</f>
        <v>2458T</v>
      </c>
      <c r="B32" t="str">
        <f>IF(Data_input!B32="","",Data_input!B32)</f>
        <v>250PH234RM</v>
      </c>
      <c r="C32" t="str">
        <f>IF(Data_input!C32="","",Data_input!C32)</f>
        <v xml:space="preserve">GOH MUN KIT  </v>
      </c>
      <c r="D32" t="str">
        <f>IF(Data_input!D32="","",Data_input!D32)</f>
        <v>Active in Program</v>
      </c>
      <c r="E32" t="str">
        <f>IF(Data_input!E32="","",Data_input!E32)</f>
        <v>MATR</v>
      </c>
      <c r="F32">
        <f>IF(Data_input!F32="","",Data_input!F32)</f>
        <v>2500</v>
      </c>
      <c r="G32" s="3">
        <f>IF(Data_input!G32="","",Data_input!G32)</f>
        <v>45661</v>
      </c>
      <c r="H32" s="1">
        <f>IF(Data_input!H32="","",Data_input!H32)</f>
        <v>45658</v>
      </c>
      <c r="I32" s="3">
        <f t="shared" si="2"/>
        <v>47484</v>
      </c>
      <c r="J32" s="4">
        <f>IF(Data_input!I32="","",Data_input!I32)</f>
        <v>3000</v>
      </c>
      <c r="K32" t="str">
        <f>IF(Data_input!J32="","",Data_input!J32)</f>
        <v>MLAKA</v>
      </c>
      <c r="L32" t="str">
        <f>IF(Data_input!K32="","",Data_input!K32)</f>
        <v>Part-Time</v>
      </c>
      <c r="M32" t="str">
        <f>IF(Data_input!L32="","",Data_input!L32)</f>
        <v>Master (Mgmt)</v>
      </c>
      <c r="N32" t="str">
        <f>IF(Data_input!M32="","",Data_input!M32)</f>
        <v>Master of Philosophy (Management)</v>
      </c>
      <c r="O32" t="str">
        <f>IF(Data_input!N32="","",Data_input!N32)</f>
        <v>Faculty of Business</v>
      </c>
      <c r="P32" s="1">
        <f>IF(Data_input!O32="","",Data_input!O32)</f>
        <v>45662</v>
      </c>
      <c r="Q32" s="1">
        <f t="shared" si="3"/>
        <v>46027</v>
      </c>
      <c r="R32" s="3">
        <f>IF(Data_input!Q32="","",Data_input!Q32)</f>
        <v>45768</v>
      </c>
      <c r="S32" s="3">
        <f t="shared" si="0"/>
        <v>47119</v>
      </c>
      <c r="T32" s="1">
        <f>IF(LEN(TRIM(Data_input!P32))=0,"",Data_input!P32)</f>
        <v>47287</v>
      </c>
      <c r="U32" s="1">
        <f t="shared" si="1"/>
        <v>47484</v>
      </c>
      <c r="V32" s="1">
        <f t="shared" si="4"/>
        <v>46116</v>
      </c>
      <c r="W32" s="1">
        <f>IF(Data_input!R32="","",Data_input!R32)</f>
        <v>45798</v>
      </c>
      <c r="X32" s="1" t="str">
        <f>IF(Data_input!S32="","",Data_input!S32)</f>
        <v/>
      </c>
    </row>
    <row r="33" spans="1:24">
      <c r="A33" t="str">
        <f>IF(Data_input!A33="","",Data_input!A33)</f>
        <v>2465K</v>
      </c>
      <c r="B33" t="str">
        <f>IF(Data_input!B33="","",Data_input!B33)</f>
        <v>250PJ285Q1</v>
      </c>
      <c r="C33" t="str">
        <f>IF(Data_input!C33="","",Data_input!C33)</f>
        <v xml:space="preserve">AISHA BINTI HASSAN  </v>
      </c>
      <c r="D33" t="str">
        <f>IF(Data_input!D33="","",Data_input!D33)</f>
        <v>Active in Program</v>
      </c>
      <c r="E33" t="str">
        <f>IF(Data_input!E33="","",Data_input!E33)</f>
        <v>MATR</v>
      </c>
      <c r="F33">
        <f>IF(Data_input!F33="","",Data_input!F33)</f>
        <v>2500</v>
      </c>
      <c r="G33" s="3">
        <f>IF(Data_input!G33="","",Data_input!G33)</f>
        <v>45709</v>
      </c>
      <c r="H33" s="1">
        <f>IF(Data_input!H33="","",Data_input!H33)</f>
        <v>45658</v>
      </c>
      <c r="I33" s="3">
        <f t="shared" si="2"/>
        <v>47484</v>
      </c>
      <c r="J33" s="4">
        <f>IF(Data_input!I33="","",Data_input!I33)</f>
        <v>3000</v>
      </c>
      <c r="K33" t="str">
        <f>IF(Data_input!J33="","",Data_input!J33)</f>
        <v>MLAKA</v>
      </c>
      <c r="L33" t="str">
        <f>IF(Data_input!K33="","",Data_input!K33)</f>
        <v>Part-Time</v>
      </c>
      <c r="M33" t="str">
        <f>IF(Data_input!L33="","",Data_input!L33)</f>
        <v>Master (Mgmt)</v>
      </c>
      <c r="N33" t="str">
        <f>IF(Data_input!M33="","",Data_input!M33)</f>
        <v>Master of Philosophy (Management)</v>
      </c>
      <c r="O33" t="str">
        <f>IF(Data_input!N33="","",Data_input!N33)</f>
        <v>Faculty of Business</v>
      </c>
      <c r="P33" s="1">
        <f>IF(Data_input!O33="","",Data_input!O33)</f>
        <v>45710</v>
      </c>
      <c r="Q33" s="1">
        <f t="shared" si="3"/>
        <v>46075</v>
      </c>
      <c r="R33" s="3">
        <f>IF(Data_input!Q33="","",Data_input!Q33)</f>
        <v>45747</v>
      </c>
      <c r="S33" s="3">
        <f t="shared" si="0"/>
        <v>47119</v>
      </c>
      <c r="T33" s="1">
        <f>IF(LEN(TRIM(Data_input!P33))=0,"",Data_input!P33)</f>
        <v>47226</v>
      </c>
      <c r="U33" s="1">
        <f t="shared" si="1"/>
        <v>47484</v>
      </c>
      <c r="V33" s="1">
        <f t="shared" si="4"/>
        <v>46163</v>
      </c>
      <c r="W33" s="1">
        <f>IF(Data_input!R33="","",Data_input!R33)</f>
        <v>45830</v>
      </c>
      <c r="X33" s="1" t="str">
        <f>IF(Data_input!S33="","",Data_input!S33)</f>
        <v/>
      </c>
    </row>
    <row r="34" spans="1:24">
      <c r="A34" t="str">
        <f>IF(Data_input!A34="","",Data_input!A34)</f>
        <v>247ZK</v>
      </c>
      <c r="B34" t="str">
        <f>IF(Data_input!B34="","",Data_input!B34)</f>
        <v>250PK292RD</v>
      </c>
      <c r="C34" t="str">
        <f>IF(Data_input!C34="","",Data_input!C34)</f>
        <v xml:space="preserve">ONG JUN HAO  </v>
      </c>
      <c r="D34" t="str">
        <f>IF(Data_input!D34="","",Data_input!D34)</f>
        <v>Active in Program</v>
      </c>
      <c r="E34" t="str">
        <f>IF(Data_input!E34="","",Data_input!E34)</f>
        <v>MATR</v>
      </c>
      <c r="F34">
        <f>IF(Data_input!F34="","",Data_input!F34)</f>
        <v>2500</v>
      </c>
      <c r="G34" s="3">
        <f>IF(Data_input!G34="","",Data_input!G34)</f>
        <v>45710</v>
      </c>
      <c r="H34" s="1">
        <f>IF(Data_input!H34="","",Data_input!H34)</f>
        <v>45658</v>
      </c>
      <c r="I34" s="3">
        <f t="shared" si="2"/>
        <v>47484</v>
      </c>
      <c r="J34" s="4">
        <f>IF(Data_input!I34="","",Data_input!I34)</f>
        <v>3000</v>
      </c>
      <c r="K34" t="str">
        <f>IF(Data_input!J34="","",Data_input!J34)</f>
        <v>MLAKA</v>
      </c>
      <c r="L34" t="str">
        <f>IF(Data_input!K34="","",Data_input!K34)</f>
        <v>Part-Time</v>
      </c>
      <c r="M34" t="str">
        <f>IF(Data_input!L34="","",Data_input!L34)</f>
        <v>Master (Law)</v>
      </c>
      <c r="N34" t="str">
        <f>IF(Data_input!M34="","",Data_input!M34)</f>
        <v xml:space="preserve">Master of Laws </v>
      </c>
      <c r="O34" t="str">
        <f>IF(Data_input!N34="","",Data_input!N34)</f>
        <v>Faculty of Law</v>
      </c>
      <c r="P34" s="1">
        <f>IF(Data_input!O34="","",Data_input!O34)</f>
        <v>45711</v>
      </c>
      <c r="Q34" s="1">
        <f t="shared" si="3"/>
        <v>46076</v>
      </c>
      <c r="R34" s="3">
        <f>IF(Data_input!Q34="","",Data_input!Q34)</f>
        <v>45930</v>
      </c>
      <c r="S34" s="3">
        <f t="shared" ref="S34:S60" si="5">IF(I34="","",DATE(YEAR(I34)-1,MONTH(I34),DAY(I34)))</f>
        <v>47119</v>
      </c>
      <c r="T34" s="1">
        <f>IF(LEN(TRIM(Data_input!P34))=0,"",Data_input!P34)</f>
        <v>47348</v>
      </c>
      <c r="U34" s="1">
        <f t="shared" ref="U34:U60" si="6">IF(I34="","",I34)</f>
        <v>47484</v>
      </c>
      <c r="V34" s="1">
        <f t="shared" si="4"/>
        <v>46164</v>
      </c>
      <c r="W34" s="1">
        <f>IF(Data_input!R34="","",Data_input!R34)</f>
        <v>45922</v>
      </c>
      <c r="X34" s="1" t="str">
        <f>IF(Data_input!S34="","",Data_input!S34)</f>
        <v/>
      </c>
    </row>
    <row r="35" spans="1:24">
      <c r="A35" t="str">
        <f>IF(Data_input!A35="","",Data_input!A35)</f>
        <v>249PK</v>
      </c>
      <c r="B35" t="str">
        <f>IF(Data_input!B35="","",Data_input!B35)</f>
        <v>250PL239R2</v>
      </c>
      <c r="C35" t="str">
        <f>IF(Data_input!C35="","",Data_input!C35)</f>
        <v xml:space="preserve">PRIYA DEVI NAIR  </v>
      </c>
      <c r="D35" t="str">
        <f>IF(Data_input!D35="","",Data_input!D35)</f>
        <v>Active in Program</v>
      </c>
      <c r="E35" t="str">
        <f>IF(Data_input!E35="","",Data_input!E35)</f>
        <v>MATR</v>
      </c>
      <c r="F35">
        <f>IF(Data_input!F35="","",Data_input!F35)</f>
        <v>2500</v>
      </c>
      <c r="G35" s="3">
        <f>IF(Data_input!G35="","",Data_input!G35)</f>
        <v>45664</v>
      </c>
      <c r="H35" s="1">
        <f>IF(Data_input!H35="","",Data_input!H35)</f>
        <v>45658</v>
      </c>
      <c r="I35" s="3">
        <f t="shared" si="2"/>
        <v>47484</v>
      </c>
      <c r="J35" s="4">
        <f>IF(Data_input!I35="","",Data_input!I35)</f>
        <v>3000</v>
      </c>
      <c r="K35" t="str">
        <f>IF(Data_input!J35="","",Data_input!J35)</f>
        <v>MLAKA</v>
      </c>
      <c r="L35" t="str">
        <f>IF(Data_input!K35="","",Data_input!K35)</f>
        <v>Part-Time</v>
      </c>
      <c r="M35" t="str">
        <f>IF(Data_input!L35="","",Data_input!L35)</f>
        <v>Master (Law)</v>
      </c>
      <c r="N35" t="str">
        <f>IF(Data_input!M35="","",Data_input!M35)</f>
        <v xml:space="preserve">Master of Laws </v>
      </c>
      <c r="O35" t="str">
        <f>IF(Data_input!N35="","",Data_input!N35)</f>
        <v>Faculty of Law</v>
      </c>
      <c r="P35" s="1">
        <f>IF(Data_input!O35="","",Data_input!O35)</f>
        <v>45665</v>
      </c>
      <c r="Q35" s="1">
        <f t="shared" si="3"/>
        <v>46030</v>
      </c>
      <c r="R35" s="3">
        <f>IF(Data_input!Q35="","",Data_input!Q35)</f>
        <v>45931</v>
      </c>
      <c r="S35" s="3">
        <f t="shared" si="5"/>
        <v>47119</v>
      </c>
      <c r="T35" s="1">
        <f>IF(LEN(TRIM(Data_input!P35))=0,"",Data_input!P35)</f>
        <v>47339</v>
      </c>
      <c r="U35" s="1">
        <f t="shared" si="6"/>
        <v>47484</v>
      </c>
      <c r="V35" s="1">
        <f t="shared" si="4"/>
        <v>46119</v>
      </c>
      <c r="W35" s="1">
        <f>IF(Data_input!R35="","",Data_input!R35)</f>
        <v>45931</v>
      </c>
      <c r="X35" s="1" t="str">
        <f>IF(Data_input!S35="","",Data_input!S35)</f>
        <v/>
      </c>
    </row>
    <row r="36" spans="1:24">
      <c r="A36" t="str">
        <f>IF(Data_input!A36="","",Data_input!A36)</f>
        <v>243YK</v>
      </c>
      <c r="B36" t="str">
        <f>IF(Data_input!B36="","",Data_input!B36)</f>
        <v>250PN278QD</v>
      </c>
      <c r="C36" t="str">
        <f>IF(Data_input!C36="","",Data_input!C36)</f>
        <v xml:space="preserve">CHONG KAI LUN </v>
      </c>
      <c r="D36" t="str">
        <f>IF(Data_input!D36="","",Data_input!D36)</f>
        <v>Active in Program</v>
      </c>
      <c r="E36" t="str">
        <f>IF(Data_input!E36="","",Data_input!E36)</f>
        <v>MATR</v>
      </c>
      <c r="F36">
        <f>IF(Data_input!F36="","",Data_input!F36)</f>
        <v>2500</v>
      </c>
      <c r="G36" s="3">
        <f>IF(Data_input!G36="","",Data_input!G36)</f>
        <v>45678</v>
      </c>
      <c r="H36" s="1">
        <f>IF(Data_input!H36="","",Data_input!H36)</f>
        <v>45658</v>
      </c>
      <c r="I36" s="3">
        <f t="shared" si="2"/>
        <v>47484</v>
      </c>
      <c r="J36" s="4">
        <f>IF(Data_input!I36="","",Data_input!I36)</f>
        <v>3000</v>
      </c>
      <c r="K36" t="str">
        <f>IF(Data_input!J36="","",Data_input!J36)</f>
        <v>MLAKA</v>
      </c>
      <c r="L36" t="str">
        <f>IF(Data_input!K36="","",Data_input!K36)</f>
        <v>Part-Time</v>
      </c>
      <c r="M36" t="str">
        <f>IF(Data_input!L36="","",Data_input!L36)</f>
        <v>Master (Law)</v>
      </c>
      <c r="N36" t="str">
        <f>IF(Data_input!M36="","",Data_input!M36)</f>
        <v xml:space="preserve">Master of Laws </v>
      </c>
      <c r="O36" t="str">
        <f>IF(Data_input!N36="","",Data_input!N36)</f>
        <v>Faculty of Law</v>
      </c>
      <c r="P36" s="1">
        <f>IF(Data_input!O36="","",Data_input!O36)</f>
        <v>45710</v>
      </c>
      <c r="Q36" s="1">
        <f t="shared" si="3"/>
        <v>46075</v>
      </c>
      <c r="R36" s="3">
        <f>IF(Data_input!Q36="","",Data_input!Q36)</f>
        <v>45932</v>
      </c>
      <c r="S36" s="3">
        <f t="shared" si="5"/>
        <v>47119</v>
      </c>
      <c r="T36" s="1">
        <f>IF(LEN(TRIM(Data_input!P36))=0,"",Data_input!P36)</f>
        <v>47379</v>
      </c>
      <c r="U36" s="1">
        <f t="shared" si="6"/>
        <v>47484</v>
      </c>
      <c r="V36" s="1">
        <f t="shared" si="4"/>
        <v>46133</v>
      </c>
      <c r="W36" s="1">
        <f>IF(Data_input!R36="","",Data_input!R36)</f>
        <v>45952</v>
      </c>
      <c r="X36" s="1" t="str">
        <f>IF(Data_input!S36="","",Data_input!S36)</f>
        <v/>
      </c>
    </row>
    <row r="37" spans="1:24">
      <c r="A37" t="str">
        <f>IF(Data_input!A37="","",Data_input!A37)</f>
        <v>245MK</v>
      </c>
      <c r="B37" t="str">
        <f>IF(Data_input!B37="","",Data_input!B37)</f>
        <v>250PR284PK</v>
      </c>
      <c r="C37" t="str">
        <f>IF(Data_input!C37="","",Data_input!C37)</f>
        <v xml:space="preserve">ABDUL RAHMAN BIN OTHMAN  </v>
      </c>
      <c r="D37" t="str">
        <f>IF(Data_input!D37="","",Data_input!D37)</f>
        <v>Active in Program</v>
      </c>
      <c r="E37" t="str">
        <f>IF(Data_input!E37="","",Data_input!E37)</f>
        <v>MATR</v>
      </c>
      <c r="F37">
        <f>IF(Data_input!F37="","",Data_input!F37)</f>
        <v>2500</v>
      </c>
      <c r="G37" s="3">
        <f>IF(Data_input!G37="","",Data_input!G37)</f>
        <v>45679</v>
      </c>
      <c r="H37" s="1">
        <f>IF(Data_input!H37="","",Data_input!H37)</f>
        <v>45658</v>
      </c>
      <c r="I37" s="3">
        <f t="shared" si="2"/>
        <v>47484</v>
      </c>
      <c r="J37" s="4">
        <f>IF(Data_input!I37="","",Data_input!I37)</f>
        <v>3000</v>
      </c>
      <c r="K37" t="str">
        <f>IF(Data_input!J37="","",Data_input!J37)</f>
        <v>MLAKA</v>
      </c>
      <c r="L37" t="str">
        <f>IF(Data_input!K37="","",Data_input!K37)</f>
        <v>Part-Time</v>
      </c>
      <c r="M37" t="str">
        <f>IF(Data_input!L37="","",Data_input!L37)</f>
        <v>Master (Law)</v>
      </c>
      <c r="N37" t="str">
        <f>IF(Data_input!M37="","",Data_input!M37)</f>
        <v xml:space="preserve">Master of Laws </v>
      </c>
      <c r="O37" t="str">
        <f>IF(Data_input!N37="","",Data_input!N37)</f>
        <v>Faculty of Law</v>
      </c>
      <c r="P37" s="1">
        <f>IF(Data_input!O37="","",Data_input!O37)</f>
        <v>45711</v>
      </c>
      <c r="Q37" s="1">
        <f t="shared" si="3"/>
        <v>46076</v>
      </c>
      <c r="R37" s="3">
        <f>IF(Data_input!Q37="","",Data_input!Q37)</f>
        <v>46025</v>
      </c>
      <c r="S37" s="3">
        <f t="shared" si="5"/>
        <v>47119</v>
      </c>
      <c r="T37" s="1">
        <f>IF(LEN(TRIM(Data_input!P37))=0,"",Data_input!P37)</f>
        <v>47501</v>
      </c>
      <c r="U37" s="1">
        <f t="shared" si="6"/>
        <v>47484</v>
      </c>
      <c r="V37" s="1">
        <f t="shared" si="4"/>
        <v>46134</v>
      </c>
      <c r="W37" s="1">
        <f>IF(Data_input!R37="","",Data_input!R37)</f>
        <v>46154</v>
      </c>
      <c r="X37" s="1" t="str">
        <f>IF(Data_input!S37="","",Data_input!S37)</f>
        <v/>
      </c>
    </row>
    <row r="38" spans="1:24">
      <c r="A38" t="str">
        <f>IF(Data_input!A38="","",Data_input!A38)</f>
        <v>248RM</v>
      </c>
      <c r="B38" t="str">
        <f>IF(Data_input!B38="","",Data_input!B38)</f>
        <v>250PS295RM</v>
      </c>
      <c r="C38" t="str">
        <f>IF(Data_input!C38="","",Data_input!C38)</f>
        <v>YAP SIEW LING</v>
      </c>
      <c r="D38" t="str">
        <f>IF(Data_input!D38="","",Data_input!D38)</f>
        <v>Active in Program</v>
      </c>
      <c r="E38" t="str">
        <f>IF(Data_input!E38="","",Data_input!E38)</f>
        <v>MATR</v>
      </c>
      <c r="F38">
        <f>IF(Data_input!F38="","",Data_input!F38)</f>
        <v>2500</v>
      </c>
      <c r="G38" s="3">
        <f>IF(Data_input!G38="","",Data_input!G38)</f>
        <v>45664</v>
      </c>
      <c r="H38" s="1">
        <f>IF(Data_input!H38="","",Data_input!H38)</f>
        <v>45658</v>
      </c>
      <c r="I38" s="3">
        <f t="shared" si="2"/>
        <v>47484</v>
      </c>
      <c r="J38" s="4">
        <f>IF(Data_input!I38="","",Data_input!I38)</f>
        <v>3000</v>
      </c>
      <c r="K38" t="str">
        <f>IF(Data_input!J38="","",Data_input!J38)</f>
        <v>CYBER</v>
      </c>
      <c r="L38" t="str">
        <f>IF(Data_input!K38="","",Data_input!K38)</f>
        <v>Part-Time</v>
      </c>
      <c r="M38" t="str">
        <f>IF(Data_input!L38="","",Data_input!L38)</f>
        <v>Master (Communication)</v>
      </c>
      <c r="N38" t="str">
        <f>IF(Data_input!M38="","",Data_input!M38)</f>
        <v>Master of Philosophy in Communication</v>
      </c>
      <c r="O38" t="str">
        <f>IF(Data_input!N38="","",Data_input!N38)</f>
        <v>Faculty of Applied Comm</v>
      </c>
      <c r="P38" s="1">
        <f>IF(Data_input!O38="","",Data_input!O38)</f>
        <v>45665</v>
      </c>
      <c r="Q38" s="1">
        <f t="shared" si="3"/>
        <v>46030</v>
      </c>
      <c r="R38" s="3">
        <f>IF(Data_input!Q38="","",Data_input!Q38)</f>
        <v>46023</v>
      </c>
      <c r="S38" s="3">
        <f t="shared" si="5"/>
        <v>47119</v>
      </c>
      <c r="T38" s="1">
        <f>IF(LEN(TRIM(Data_input!P38))=0,"",Data_input!P38)</f>
        <v>47502</v>
      </c>
      <c r="U38" s="1">
        <f t="shared" si="6"/>
        <v>47484</v>
      </c>
      <c r="V38" s="1">
        <f t="shared" si="4"/>
        <v>46119</v>
      </c>
      <c r="W38" s="1">
        <f>IF(Data_input!R38="","",Data_input!R38)</f>
        <v>46155</v>
      </c>
      <c r="X38" s="1" t="str">
        <f>IF(Data_input!S38="","",Data_input!S38)</f>
        <v/>
      </c>
    </row>
    <row r="39" spans="1:24">
      <c r="A39" t="str">
        <f>IF(Data_input!A39="","",Data_input!A39)</f>
        <v>249RK</v>
      </c>
      <c r="B39" t="str">
        <f>IF(Data_input!B39="","",Data_input!B39)</f>
        <v>250PT244R3</v>
      </c>
      <c r="C39" t="str">
        <f>IF(Data_input!C39="","",Data_input!C39)</f>
        <v xml:space="preserve">MIRA SHARMINA BINTI HAMZAH  </v>
      </c>
      <c r="D39" t="str">
        <f>IF(Data_input!D39="","",Data_input!D39)</f>
        <v>Active in Program</v>
      </c>
      <c r="E39" t="str">
        <f>IF(Data_input!E39="","",Data_input!E39)</f>
        <v>MATR</v>
      </c>
      <c r="F39">
        <f>IF(Data_input!F39="","",Data_input!F39)</f>
        <v>2500</v>
      </c>
      <c r="G39" s="3">
        <f>IF(Data_input!G39="","",Data_input!G39)</f>
        <v>45665</v>
      </c>
      <c r="H39" s="1">
        <f>IF(Data_input!H39="","",Data_input!H39)</f>
        <v>45658</v>
      </c>
      <c r="I39" s="3">
        <f t="shared" si="2"/>
        <v>47484</v>
      </c>
      <c r="J39" s="4">
        <f>IF(Data_input!I39="","",Data_input!I39)</f>
        <v>3000</v>
      </c>
      <c r="K39" t="str">
        <f>IF(Data_input!J39="","",Data_input!J39)</f>
        <v>CYBER</v>
      </c>
      <c r="L39" t="str">
        <f>IF(Data_input!K39="","",Data_input!K39)</f>
        <v>Part-Time</v>
      </c>
      <c r="M39" t="str">
        <f>IF(Data_input!L39="","",Data_input!L39)</f>
        <v>Master (Communication)</v>
      </c>
      <c r="N39" t="str">
        <f>IF(Data_input!M39="","",Data_input!M39)</f>
        <v>Master of Philosophy in Communication</v>
      </c>
      <c r="O39" t="str">
        <f>IF(Data_input!N39="","",Data_input!N39)</f>
        <v>Faculty of Applied Comm</v>
      </c>
      <c r="P39" s="1">
        <f>IF(Data_input!O39="","",Data_input!O39)</f>
        <v>45666</v>
      </c>
      <c r="Q39" s="1">
        <f t="shared" si="3"/>
        <v>46031</v>
      </c>
      <c r="R39" s="3">
        <f>IF(Data_input!Q39="","",Data_input!Q39)</f>
        <v>46037</v>
      </c>
      <c r="S39" s="3">
        <f t="shared" si="5"/>
        <v>47119</v>
      </c>
      <c r="T39" s="1">
        <f>IF(LEN(TRIM(Data_input!P39))=0,"",Data_input!P39)</f>
        <v>47503</v>
      </c>
      <c r="U39" s="1">
        <f t="shared" si="6"/>
        <v>47484</v>
      </c>
      <c r="V39" s="1">
        <f t="shared" si="4"/>
        <v>46120</v>
      </c>
      <c r="W39" s="1">
        <f>IF(Data_input!R39="","",Data_input!R39)</f>
        <v>46135</v>
      </c>
      <c r="X39" s="1" t="str">
        <f>IF(Data_input!S39="","",Data_input!S39)</f>
        <v/>
      </c>
    </row>
    <row r="40" spans="1:24">
      <c r="A40" t="str">
        <f>IF(Data_input!A40="","",Data_input!A40)</f>
        <v>247LH</v>
      </c>
      <c r="B40" t="str">
        <f>IF(Data_input!B40="","",Data_input!B40)</f>
        <v>250PS297RL</v>
      </c>
      <c r="C40" t="str">
        <f>IF(Data_input!C40="","",Data_input!C40)</f>
        <v>KOH CHEE MING</v>
      </c>
      <c r="D40" t="str">
        <f>IF(Data_input!D40="","",Data_input!D40)</f>
        <v>Active in Program</v>
      </c>
      <c r="E40" t="str">
        <f>IF(Data_input!E40="","",Data_input!E40)</f>
        <v>MATR</v>
      </c>
      <c r="F40">
        <f>IF(Data_input!F40="","",Data_input!F40)</f>
        <v>2500</v>
      </c>
      <c r="G40" s="3">
        <f>IF(Data_input!G40="","",Data_input!G40)</f>
        <v>45682</v>
      </c>
      <c r="H40" s="1">
        <f>IF(Data_input!H40="","",Data_input!H40)</f>
        <v>45658</v>
      </c>
      <c r="I40" s="3">
        <f t="shared" si="2"/>
        <v>47484</v>
      </c>
      <c r="J40" s="4">
        <f>IF(Data_input!I40="","",Data_input!I40)</f>
        <v>3000</v>
      </c>
      <c r="K40" t="str">
        <f>IF(Data_input!J40="","",Data_input!J40)</f>
        <v>CYBER</v>
      </c>
      <c r="L40" t="str">
        <f>IF(Data_input!K40="","",Data_input!K40)</f>
        <v>Part-Time</v>
      </c>
      <c r="M40" t="str">
        <f>IF(Data_input!L40="","",Data_input!L40)</f>
        <v>Master (Communication)</v>
      </c>
      <c r="N40" t="str">
        <f>IF(Data_input!M40="","",Data_input!M40)</f>
        <v>Master of Philosophy in Communication</v>
      </c>
      <c r="O40" t="str">
        <f>IF(Data_input!N40="","",Data_input!N40)</f>
        <v>Faculty of Applied Comm</v>
      </c>
      <c r="P40" s="1">
        <f>IF(Data_input!O40="","",Data_input!O40)</f>
        <v>45683</v>
      </c>
      <c r="Q40" s="1">
        <f t="shared" si="3"/>
        <v>46048</v>
      </c>
      <c r="R40" s="3">
        <f>IF(Data_input!Q40="","",Data_input!Q40)</f>
        <v>46056</v>
      </c>
      <c r="S40" s="3">
        <f t="shared" si="5"/>
        <v>47119</v>
      </c>
      <c r="T40" s="1">
        <f>IF(LEN(TRIM(Data_input!P40))=0,"",Data_input!P40)</f>
        <v>47504</v>
      </c>
      <c r="U40" s="1">
        <f t="shared" si="6"/>
        <v>47484</v>
      </c>
      <c r="V40" s="1">
        <f t="shared" si="4"/>
        <v>46137</v>
      </c>
      <c r="W40" s="1">
        <f>IF(Data_input!R40="","",Data_input!R40)</f>
        <v>46157</v>
      </c>
      <c r="X40" s="1" t="str">
        <f>IF(Data_input!S40="","",Data_input!S40)</f>
        <v/>
      </c>
    </row>
    <row r="41" spans="1:24">
      <c r="A41" t="str">
        <f>IF(Data_input!A41="","",Data_input!A41)</f>
        <v>247LH</v>
      </c>
      <c r="B41" t="str">
        <f>IF(Data_input!B41="","",Data_input!B41)</f>
        <v>250PS297RL</v>
      </c>
      <c r="C41" t="str">
        <f>IF(Data_input!C41="","",Data_input!C41)</f>
        <v>ANG ANSON</v>
      </c>
      <c r="D41" t="str">
        <f>IF(Data_input!D41="","",Data_input!D41)</f>
        <v>Active in Program</v>
      </c>
      <c r="E41" t="str">
        <f>IF(Data_input!E41="","",Data_input!E41)</f>
        <v>MATR</v>
      </c>
      <c r="F41">
        <f>IF(Data_input!F41="","",Data_input!F41)</f>
        <v>2500</v>
      </c>
      <c r="G41" s="3">
        <f>IF(Data_input!G41="","",Data_input!G41)</f>
        <v>45682</v>
      </c>
      <c r="H41" s="1">
        <f>IF(Data_input!H41="","",Data_input!H41)</f>
        <v>45658</v>
      </c>
      <c r="I41" s="3">
        <f t="shared" si="2"/>
        <v>46753</v>
      </c>
      <c r="J41" s="4">
        <f>IF(Data_input!I41="","",Data_input!I41)</f>
        <v>3000</v>
      </c>
      <c r="K41" t="str">
        <f>IF(Data_input!J41="","",Data_input!J41)</f>
        <v>CYBER</v>
      </c>
      <c r="L41" t="str">
        <f>IF(Data_input!K41="","",Data_input!K41)</f>
        <v>Full-Time</v>
      </c>
      <c r="M41" t="str">
        <f>IF(Data_input!L41="","",Data_input!L41)</f>
        <v>Master (Communication)</v>
      </c>
      <c r="N41" t="str">
        <f>IF(Data_input!M41="","",Data_input!M41)</f>
        <v>Master of Philosophy in Communication</v>
      </c>
      <c r="O41" t="str">
        <f>IF(Data_input!N41="","",Data_input!N41)</f>
        <v>Faculty of Applied Comm</v>
      </c>
      <c r="P41" s="1">
        <f>IF(Data_input!O41="","",Data_input!O41)</f>
        <v>45682</v>
      </c>
      <c r="Q41" s="1">
        <f t="shared" si="3"/>
        <v>46047</v>
      </c>
      <c r="R41" s="3" t="str">
        <f>IF(Data_input!Q41="","",Data_input!Q41)</f>
        <v/>
      </c>
      <c r="S41" s="3">
        <f t="shared" si="5"/>
        <v>46388</v>
      </c>
      <c r="T41" s="1" t="str">
        <f>IF(LEN(TRIM(Data_input!P41))=0,"",Data_input!P41)</f>
        <v/>
      </c>
      <c r="U41" s="1">
        <f t="shared" si="6"/>
        <v>46753</v>
      </c>
      <c r="V41" s="1">
        <f t="shared" si="4"/>
        <v>46137</v>
      </c>
      <c r="W41" s="1" t="str">
        <f>IF(Data_input!R41="","",Data_input!R41)</f>
        <v/>
      </c>
      <c r="X41" s="1" t="str">
        <f>IF(Data_input!S41="","",Data_input!S41)</f>
        <v/>
      </c>
    </row>
    <row r="42" spans="1:24">
      <c r="A42" t="str">
        <f>IF(Data_input!A42="","",Data_input!A42)</f>
        <v/>
      </c>
      <c r="B42" t="str">
        <f>IF(Data_input!B42="","",Data_input!B42)</f>
        <v/>
      </c>
      <c r="C42" t="str">
        <f>IF(Data_input!C42="","",Data_input!C42)</f>
        <v/>
      </c>
      <c r="D42" t="str">
        <f>IF(Data_input!D42="","",Data_input!D42)</f>
        <v/>
      </c>
      <c r="E42" t="str">
        <f>IF(Data_input!E42="","",Data_input!E42)</f>
        <v/>
      </c>
      <c r="F42" t="str">
        <f>IF(Data_input!F42="","",Data_input!F42)</f>
        <v/>
      </c>
      <c r="G42" s="3" t="str">
        <f>IF(Data_input!G42="","",Data_input!G42)</f>
        <v/>
      </c>
      <c r="H42" s="1" t="str">
        <f>IF(Data_input!H42="","",Data_input!H42)</f>
        <v/>
      </c>
      <c r="I42" s="3" t="str">
        <f t="shared" si="2"/>
        <v/>
      </c>
      <c r="J42" s="4" t="str">
        <f>IF(Data_input!I42="","",Data_input!I42)</f>
        <v/>
      </c>
      <c r="K42" t="str">
        <f>IF(Data_input!J42="","",Data_input!J42)</f>
        <v/>
      </c>
      <c r="L42" t="str">
        <f>IF(Data_input!K42="","",Data_input!K42)</f>
        <v/>
      </c>
      <c r="M42" t="str">
        <f>IF(Data_input!L42="","",Data_input!L42)</f>
        <v/>
      </c>
      <c r="N42" t="str">
        <f>IF(Data_input!M42="","",Data_input!M42)</f>
        <v/>
      </c>
      <c r="O42" t="str">
        <f>IF(Data_input!N42="","",Data_input!N42)</f>
        <v/>
      </c>
      <c r="P42" s="1" t="str">
        <f>IF(Data_input!O42="","",Data_input!O42)</f>
        <v/>
      </c>
      <c r="Q42" s="1" t="str">
        <f t="shared" si="3"/>
        <v/>
      </c>
      <c r="R42" s="3" t="str">
        <f>IF(Data_input!Q42="","",Data_input!Q42)</f>
        <v/>
      </c>
      <c r="S42" s="3" t="str">
        <f t="shared" si="5"/>
        <v/>
      </c>
      <c r="T42" s="1" t="str">
        <f>IF(LEN(TRIM(Data_input!P42))=0,"",Data_input!P42)</f>
        <v/>
      </c>
      <c r="U42" s="1" t="str">
        <f t="shared" si="6"/>
        <v/>
      </c>
      <c r="V42" s="1" t="str">
        <f t="shared" si="4"/>
        <v/>
      </c>
      <c r="W42" s="1" t="str">
        <f>IF(Data_input!R42="","",Data_input!R42)</f>
        <v/>
      </c>
      <c r="X42" s="1" t="str">
        <f>IF(Data_input!S42="","",Data_input!S42)</f>
        <v/>
      </c>
    </row>
    <row r="43" spans="1:24">
      <c r="A43" t="str">
        <f>IF(Data_input!A43="","",Data_input!A43)</f>
        <v/>
      </c>
      <c r="B43" t="str">
        <f>IF(Data_input!B43="","",Data_input!B43)</f>
        <v/>
      </c>
      <c r="C43" t="str">
        <f>IF(Data_input!C43="","",Data_input!C43)</f>
        <v/>
      </c>
      <c r="D43" t="str">
        <f>IF(Data_input!D43="","",Data_input!D43)</f>
        <v/>
      </c>
      <c r="E43" t="str">
        <f>IF(Data_input!E43="","",Data_input!E43)</f>
        <v/>
      </c>
      <c r="F43" t="str">
        <f>IF(Data_input!F43="","",Data_input!F43)</f>
        <v/>
      </c>
      <c r="G43" s="3" t="str">
        <f>IF(Data_input!G43="","",Data_input!G43)</f>
        <v/>
      </c>
      <c r="H43" s="1" t="str">
        <f>IF(Data_input!H43="","",Data_input!H43)</f>
        <v/>
      </c>
      <c r="I43" s="3" t="str">
        <f t="shared" si="2"/>
        <v/>
      </c>
      <c r="J43" s="4" t="str">
        <f>IF(Data_input!I43="","",Data_input!I43)</f>
        <v/>
      </c>
      <c r="K43" t="str">
        <f>IF(Data_input!J43="","",Data_input!J43)</f>
        <v/>
      </c>
      <c r="L43" t="str">
        <f>IF(Data_input!K43="","",Data_input!K43)</f>
        <v/>
      </c>
      <c r="M43" t="str">
        <f>IF(Data_input!L43="","",Data_input!L43)</f>
        <v/>
      </c>
      <c r="N43" t="str">
        <f>IF(Data_input!M43="","",Data_input!M43)</f>
        <v/>
      </c>
      <c r="O43" t="str">
        <f>IF(Data_input!N43="","",Data_input!N43)</f>
        <v/>
      </c>
      <c r="P43" s="1" t="str">
        <f>IF(Data_input!O43="","",Data_input!O43)</f>
        <v/>
      </c>
      <c r="Q43" s="1" t="str">
        <f t="shared" si="3"/>
        <v/>
      </c>
      <c r="R43" s="3" t="str">
        <f>IF(Data_input!Q43="","",Data_input!Q43)</f>
        <v/>
      </c>
      <c r="S43" s="3" t="str">
        <f t="shared" si="5"/>
        <v/>
      </c>
      <c r="T43" s="1" t="str">
        <f>IF(LEN(TRIM(Data_input!P43))=0,"",Data_input!P43)</f>
        <v/>
      </c>
      <c r="U43" s="1" t="str">
        <f t="shared" si="6"/>
        <v/>
      </c>
      <c r="V43" s="1" t="str">
        <f t="shared" si="4"/>
        <v/>
      </c>
      <c r="W43" s="1" t="str">
        <f>IF(Data_input!R43="","",Data_input!R43)</f>
        <v/>
      </c>
      <c r="X43" s="1" t="str">
        <f>IF(Data_input!S43="","",Data_input!S43)</f>
        <v/>
      </c>
    </row>
    <row r="44" spans="1:24">
      <c r="A44" t="str">
        <f>IF(Data_input!A44="","",Data_input!A44)</f>
        <v/>
      </c>
      <c r="B44" t="str">
        <f>IF(Data_input!B44="","",Data_input!B44)</f>
        <v/>
      </c>
      <c r="C44" t="str">
        <f>IF(Data_input!C44="","",Data_input!C44)</f>
        <v/>
      </c>
      <c r="D44" t="str">
        <f>IF(Data_input!D44="","",Data_input!D44)</f>
        <v/>
      </c>
      <c r="E44" t="str">
        <f>IF(Data_input!E44="","",Data_input!E44)</f>
        <v/>
      </c>
      <c r="F44" t="str">
        <f>IF(Data_input!F44="","",Data_input!F44)</f>
        <v/>
      </c>
      <c r="G44" s="3" t="str">
        <f>IF(Data_input!G44="","",Data_input!G44)</f>
        <v/>
      </c>
      <c r="H44" s="1" t="str">
        <f>IF(Data_input!H44="","",Data_input!H44)</f>
        <v/>
      </c>
      <c r="I44" s="3" t="str">
        <f t="shared" si="2"/>
        <v/>
      </c>
      <c r="J44" s="4" t="str">
        <f>IF(Data_input!I44="","",Data_input!I44)</f>
        <v/>
      </c>
      <c r="K44" t="str">
        <f>IF(Data_input!J44="","",Data_input!J44)</f>
        <v/>
      </c>
      <c r="L44" t="str">
        <f>IF(Data_input!K44="","",Data_input!K44)</f>
        <v/>
      </c>
      <c r="M44" t="str">
        <f>IF(Data_input!L44="","",Data_input!L44)</f>
        <v/>
      </c>
      <c r="N44" t="str">
        <f>IF(Data_input!M44="","",Data_input!M44)</f>
        <v/>
      </c>
      <c r="O44" t="str">
        <f>IF(Data_input!N44="","",Data_input!N44)</f>
        <v/>
      </c>
      <c r="P44" s="1" t="str">
        <f>IF(Data_input!O44="","",Data_input!O44)</f>
        <v/>
      </c>
      <c r="Q44" s="1" t="str">
        <f t="shared" si="3"/>
        <v/>
      </c>
      <c r="R44" s="3" t="str">
        <f>IF(Data_input!Q44="","",Data_input!Q44)</f>
        <v/>
      </c>
      <c r="S44" s="3" t="str">
        <f t="shared" si="5"/>
        <v/>
      </c>
      <c r="T44" s="1" t="str">
        <f>IF(LEN(TRIM(Data_input!P44))=0,"",Data_input!P44)</f>
        <v/>
      </c>
      <c r="U44" s="1" t="str">
        <f t="shared" si="6"/>
        <v/>
      </c>
      <c r="V44" s="1" t="str">
        <f t="shared" si="4"/>
        <v/>
      </c>
      <c r="W44" s="1" t="str">
        <f>IF(Data_input!R44="","",Data_input!R44)</f>
        <v/>
      </c>
      <c r="X44" s="1" t="str">
        <f>IF(Data_input!S44="","",Data_input!S44)</f>
        <v/>
      </c>
    </row>
    <row r="45" spans="1:24">
      <c r="A45" t="str">
        <f>IF(Data_input!A45="","",Data_input!A45)</f>
        <v/>
      </c>
      <c r="B45" t="str">
        <f>IF(Data_input!B45="","",Data_input!B45)</f>
        <v/>
      </c>
      <c r="C45" t="str">
        <f>IF(Data_input!C45="","",Data_input!C45)</f>
        <v/>
      </c>
      <c r="D45" t="str">
        <f>IF(Data_input!D45="","",Data_input!D45)</f>
        <v/>
      </c>
      <c r="E45" t="str">
        <f>IF(Data_input!E45="","",Data_input!E45)</f>
        <v/>
      </c>
      <c r="F45" t="str">
        <f>IF(Data_input!F45="","",Data_input!F45)</f>
        <v/>
      </c>
      <c r="G45" s="3" t="str">
        <f>IF(Data_input!G45="","",Data_input!G45)</f>
        <v/>
      </c>
      <c r="H45" s="1" t="str">
        <f>IF(Data_input!H45="","",Data_input!H45)</f>
        <v/>
      </c>
      <c r="I45" s="3" t="str">
        <f t="shared" si="2"/>
        <v/>
      </c>
      <c r="J45" s="4" t="str">
        <f>IF(Data_input!I45="","",Data_input!I45)</f>
        <v/>
      </c>
      <c r="K45" t="str">
        <f>IF(Data_input!J45="","",Data_input!J45)</f>
        <v/>
      </c>
      <c r="L45" t="str">
        <f>IF(Data_input!K45="","",Data_input!K45)</f>
        <v/>
      </c>
      <c r="M45" t="str">
        <f>IF(Data_input!L45="","",Data_input!L45)</f>
        <v/>
      </c>
      <c r="N45" t="str">
        <f>IF(Data_input!M45="","",Data_input!M45)</f>
        <v/>
      </c>
      <c r="O45" t="str">
        <f>IF(Data_input!N45="","",Data_input!N45)</f>
        <v/>
      </c>
      <c r="P45" s="1" t="str">
        <f>IF(Data_input!O45="","",Data_input!O45)</f>
        <v/>
      </c>
      <c r="Q45" s="1" t="str">
        <f t="shared" si="3"/>
        <v/>
      </c>
      <c r="R45" s="3" t="str">
        <f>IF(Data_input!Q45="","",Data_input!Q45)</f>
        <v/>
      </c>
      <c r="S45" s="3" t="str">
        <f t="shared" si="5"/>
        <v/>
      </c>
      <c r="T45" s="1" t="str">
        <f>IF(LEN(TRIM(Data_input!P45))=0,"",Data_input!P45)</f>
        <v/>
      </c>
      <c r="U45" s="1" t="str">
        <f t="shared" si="6"/>
        <v/>
      </c>
      <c r="V45" s="1" t="str">
        <f t="shared" si="4"/>
        <v/>
      </c>
      <c r="W45" s="1" t="str">
        <f>IF(Data_input!R45="","",Data_input!R45)</f>
        <v/>
      </c>
      <c r="X45" s="1" t="str">
        <f>IF(Data_input!S45="","",Data_input!S45)</f>
        <v/>
      </c>
    </row>
    <row r="46" spans="1:24">
      <c r="A46" t="str">
        <f>IF(Data_input!A46="","",Data_input!A46)</f>
        <v/>
      </c>
      <c r="B46" t="str">
        <f>IF(Data_input!B46="","",Data_input!B46)</f>
        <v/>
      </c>
      <c r="C46" t="str">
        <f>IF(Data_input!C46="","",Data_input!C46)</f>
        <v/>
      </c>
      <c r="D46" t="str">
        <f>IF(Data_input!D46="","",Data_input!D46)</f>
        <v/>
      </c>
      <c r="E46" t="str">
        <f>IF(Data_input!E46="","",Data_input!E46)</f>
        <v/>
      </c>
      <c r="F46" t="str">
        <f>IF(Data_input!F46="","",Data_input!F46)</f>
        <v/>
      </c>
      <c r="G46" s="3" t="str">
        <f>IF(Data_input!G46="","",Data_input!G46)</f>
        <v/>
      </c>
      <c r="H46" s="1" t="str">
        <f>IF(Data_input!H46="","",Data_input!H46)</f>
        <v/>
      </c>
      <c r="I46" s="3" t="str">
        <f t="shared" si="2"/>
        <v/>
      </c>
      <c r="J46" s="4" t="str">
        <f>IF(Data_input!I46="","",Data_input!I46)</f>
        <v/>
      </c>
      <c r="K46" t="str">
        <f>IF(Data_input!J46="","",Data_input!J46)</f>
        <v/>
      </c>
      <c r="L46" t="str">
        <f>IF(Data_input!K46="","",Data_input!K46)</f>
        <v/>
      </c>
      <c r="M46" t="str">
        <f>IF(Data_input!L46="","",Data_input!L46)</f>
        <v/>
      </c>
      <c r="N46" t="str">
        <f>IF(Data_input!M46="","",Data_input!M46)</f>
        <v/>
      </c>
      <c r="O46" t="str">
        <f>IF(Data_input!N46="","",Data_input!N46)</f>
        <v/>
      </c>
      <c r="P46" s="1" t="str">
        <f>IF(Data_input!O46="","",Data_input!O46)</f>
        <v/>
      </c>
      <c r="Q46" s="1" t="str">
        <f t="shared" si="3"/>
        <v/>
      </c>
      <c r="R46" s="3" t="str">
        <f>IF(Data_input!Q46="","",Data_input!Q46)</f>
        <v/>
      </c>
      <c r="S46" s="3" t="str">
        <f t="shared" si="5"/>
        <v/>
      </c>
      <c r="T46" s="1" t="str">
        <f>IF(LEN(TRIM(Data_input!P46))=0,"",Data_input!P46)</f>
        <v/>
      </c>
      <c r="U46" s="1" t="str">
        <f t="shared" si="6"/>
        <v/>
      </c>
      <c r="V46" s="1" t="str">
        <f t="shared" si="4"/>
        <v/>
      </c>
      <c r="W46" s="1" t="str">
        <f>IF(Data_input!R46="","",Data_input!R46)</f>
        <v/>
      </c>
      <c r="X46" s="1" t="str">
        <f>IF(Data_input!S46="","",Data_input!S46)</f>
        <v/>
      </c>
    </row>
    <row r="47" spans="1:24">
      <c r="A47" t="str">
        <f>IF(Data_input!A47="","",Data_input!A47)</f>
        <v/>
      </c>
      <c r="B47" t="str">
        <f>IF(Data_input!B47="","",Data_input!B47)</f>
        <v/>
      </c>
      <c r="C47" t="str">
        <f>IF(Data_input!C47="","",Data_input!C47)</f>
        <v/>
      </c>
      <c r="D47" t="str">
        <f>IF(Data_input!D47="","",Data_input!D47)</f>
        <v/>
      </c>
      <c r="E47" t="str">
        <f>IF(Data_input!E47="","",Data_input!E47)</f>
        <v/>
      </c>
      <c r="F47" t="str">
        <f>IF(Data_input!F47="","",Data_input!F47)</f>
        <v/>
      </c>
      <c r="G47" s="3" t="str">
        <f>IF(Data_input!G47="","",Data_input!G47)</f>
        <v/>
      </c>
      <c r="H47" s="1" t="str">
        <f>IF(Data_input!H47="","",Data_input!H47)</f>
        <v/>
      </c>
      <c r="I47" s="3" t="str">
        <f t="shared" si="2"/>
        <v/>
      </c>
      <c r="J47" s="4" t="str">
        <f>IF(Data_input!I47="","",Data_input!I47)</f>
        <v/>
      </c>
      <c r="K47" t="str">
        <f>IF(Data_input!J47="","",Data_input!J47)</f>
        <v/>
      </c>
      <c r="L47" t="str">
        <f>IF(Data_input!K47="","",Data_input!K47)</f>
        <v/>
      </c>
      <c r="M47" t="str">
        <f>IF(Data_input!L47="","",Data_input!L47)</f>
        <v/>
      </c>
      <c r="N47" t="str">
        <f>IF(Data_input!M47="","",Data_input!M47)</f>
        <v/>
      </c>
      <c r="O47" t="str">
        <f>IF(Data_input!N47="","",Data_input!N47)</f>
        <v/>
      </c>
      <c r="P47" s="1" t="str">
        <f>IF(Data_input!O47="","",Data_input!O47)</f>
        <v/>
      </c>
      <c r="Q47" s="1" t="str">
        <f t="shared" si="3"/>
        <v/>
      </c>
      <c r="R47" s="3" t="str">
        <f>IF(Data_input!Q47="","",Data_input!Q47)</f>
        <v/>
      </c>
      <c r="S47" s="3" t="str">
        <f t="shared" si="5"/>
        <v/>
      </c>
      <c r="T47" s="1" t="str">
        <f>IF(LEN(TRIM(Data_input!P47))=0,"",Data_input!P47)</f>
        <v/>
      </c>
      <c r="U47" s="1" t="str">
        <f t="shared" si="6"/>
        <v/>
      </c>
      <c r="V47" s="1" t="str">
        <f t="shared" si="4"/>
        <v/>
      </c>
      <c r="W47" s="1" t="str">
        <f>IF(Data_input!R47="","",Data_input!R47)</f>
        <v/>
      </c>
      <c r="X47" s="1" t="str">
        <f>IF(Data_input!S47="","",Data_input!S47)</f>
        <v/>
      </c>
    </row>
    <row r="48" spans="1:24">
      <c r="A48" t="str">
        <f>IF(Data_input!A48="","",Data_input!A48)</f>
        <v/>
      </c>
      <c r="B48" t="str">
        <f>IF(Data_input!B48="","",Data_input!B48)</f>
        <v/>
      </c>
      <c r="C48" t="str">
        <f>IF(Data_input!C48="","",Data_input!C48)</f>
        <v/>
      </c>
      <c r="D48" t="str">
        <f>IF(Data_input!D48="","",Data_input!D48)</f>
        <v/>
      </c>
      <c r="E48" t="str">
        <f>IF(Data_input!E48="","",Data_input!E48)</f>
        <v/>
      </c>
      <c r="F48" t="str">
        <f>IF(Data_input!F48="","",Data_input!F48)</f>
        <v/>
      </c>
      <c r="G48" s="3" t="str">
        <f>IF(Data_input!G48="","",Data_input!G48)</f>
        <v/>
      </c>
      <c r="H48" s="1" t="str">
        <f>IF(Data_input!H48="","",Data_input!H48)</f>
        <v/>
      </c>
      <c r="I48" s="3" t="str">
        <f t="shared" si="2"/>
        <v/>
      </c>
      <c r="J48" s="4" t="str">
        <f>IF(Data_input!I48="","",Data_input!I48)</f>
        <v/>
      </c>
      <c r="K48" t="str">
        <f>IF(Data_input!J48="","",Data_input!J48)</f>
        <v/>
      </c>
      <c r="L48" t="str">
        <f>IF(Data_input!K48="","",Data_input!K48)</f>
        <v/>
      </c>
      <c r="M48" t="str">
        <f>IF(Data_input!L48="","",Data_input!L48)</f>
        <v/>
      </c>
      <c r="N48" t="str">
        <f>IF(Data_input!M48="","",Data_input!M48)</f>
        <v/>
      </c>
      <c r="O48" t="str">
        <f>IF(Data_input!N48="","",Data_input!N48)</f>
        <v/>
      </c>
      <c r="P48" s="1" t="str">
        <f>IF(Data_input!O48="","",Data_input!O48)</f>
        <v/>
      </c>
      <c r="Q48" s="1" t="str">
        <f t="shared" si="3"/>
        <v/>
      </c>
      <c r="R48" s="3" t="str">
        <f>IF(Data_input!Q48="","",Data_input!Q48)</f>
        <v/>
      </c>
      <c r="S48" s="3" t="str">
        <f t="shared" si="5"/>
        <v/>
      </c>
      <c r="T48" s="1" t="str">
        <f>IF(LEN(TRIM(Data_input!P48))=0,"",Data_input!P48)</f>
        <v/>
      </c>
      <c r="U48" s="1" t="str">
        <f t="shared" si="6"/>
        <v/>
      </c>
      <c r="V48" s="1" t="str">
        <f t="shared" si="4"/>
        <v/>
      </c>
      <c r="W48" s="1" t="str">
        <f>IF(Data_input!R48="","",Data_input!R48)</f>
        <v/>
      </c>
      <c r="X48" s="1" t="str">
        <f>IF(Data_input!S48="","",Data_input!S48)</f>
        <v/>
      </c>
    </row>
    <row r="49" spans="1:24">
      <c r="A49" t="str">
        <f>IF(Data_input!A49="","",Data_input!A49)</f>
        <v/>
      </c>
      <c r="B49" t="str">
        <f>IF(Data_input!B49="","",Data_input!B49)</f>
        <v/>
      </c>
      <c r="C49" t="str">
        <f>IF(Data_input!C49="","",Data_input!C49)</f>
        <v/>
      </c>
      <c r="D49" t="str">
        <f>IF(Data_input!D49="","",Data_input!D49)</f>
        <v/>
      </c>
      <c r="E49" t="str">
        <f>IF(Data_input!E49="","",Data_input!E49)</f>
        <v/>
      </c>
      <c r="F49" t="str">
        <f>IF(Data_input!F49="","",Data_input!F49)</f>
        <v/>
      </c>
      <c r="G49" s="3" t="str">
        <f>IF(Data_input!G49="","",Data_input!G49)</f>
        <v/>
      </c>
      <c r="H49" s="1" t="str">
        <f>IF(Data_input!H49="","",Data_input!H49)</f>
        <v/>
      </c>
      <c r="I49" s="3" t="str">
        <f t="shared" si="2"/>
        <v/>
      </c>
      <c r="J49" s="4" t="str">
        <f>IF(Data_input!I49="","",Data_input!I49)</f>
        <v/>
      </c>
      <c r="K49" t="str">
        <f>IF(Data_input!J49="","",Data_input!J49)</f>
        <v/>
      </c>
      <c r="L49" t="str">
        <f>IF(Data_input!K49="","",Data_input!K49)</f>
        <v/>
      </c>
      <c r="M49" t="str">
        <f>IF(Data_input!L49="","",Data_input!L49)</f>
        <v/>
      </c>
      <c r="N49" t="str">
        <f>IF(Data_input!M49="","",Data_input!M49)</f>
        <v/>
      </c>
      <c r="O49" t="str">
        <f>IF(Data_input!N49="","",Data_input!N49)</f>
        <v/>
      </c>
      <c r="P49" s="1" t="str">
        <f>IF(Data_input!O49="","",Data_input!O49)</f>
        <v/>
      </c>
      <c r="Q49" s="1" t="str">
        <f t="shared" si="3"/>
        <v/>
      </c>
      <c r="R49" s="3" t="str">
        <f>IF(Data_input!Q49="","",Data_input!Q49)</f>
        <v/>
      </c>
      <c r="S49" s="3" t="str">
        <f t="shared" si="5"/>
        <v/>
      </c>
      <c r="T49" s="1" t="str">
        <f>IF(LEN(TRIM(Data_input!P49))=0,"",Data_input!P49)</f>
        <v/>
      </c>
      <c r="U49" s="1" t="str">
        <f t="shared" si="6"/>
        <v/>
      </c>
      <c r="V49" s="1" t="str">
        <f t="shared" si="4"/>
        <v/>
      </c>
      <c r="W49" s="1" t="str">
        <f>IF(Data_input!R49="","",Data_input!R49)</f>
        <v/>
      </c>
      <c r="X49" s="1" t="str">
        <f>IF(Data_input!S49="","",Data_input!S49)</f>
        <v/>
      </c>
    </row>
    <row r="50" spans="1:24">
      <c r="A50" t="str">
        <f>IF(Data_input!A50="","",Data_input!A50)</f>
        <v/>
      </c>
      <c r="B50" t="str">
        <f>IF(Data_input!B50="","",Data_input!B50)</f>
        <v/>
      </c>
      <c r="C50" t="str">
        <f>IF(Data_input!C50="","",Data_input!C50)</f>
        <v/>
      </c>
      <c r="D50" t="str">
        <f>IF(Data_input!D50="","",Data_input!D50)</f>
        <v/>
      </c>
      <c r="E50" t="str">
        <f>IF(Data_input!E50="","",Data_input!E50)</f>
        <v/>
      </c>
      <c r="F50" t="str">
        <f>IF(Data_input!F50="","",Data_input!F50)</f>
        <v/>
      </c>
      <c r="G50" s="3" t="str">
        <f>IF(Data_input!G50="","",Data_input!G50)</f>
        <v/>
      </c>
      <c r="H50" s="1" t="str">
        <f>IF(Data_input!H50="","",Data_input!H50)</f>
        <v/>
      </c>
      <c r="I50" s="3" t="str">
        <f t="shared" si="2"/>
        <v/>
      </c>
      <c r="J50" s="4" t="str">
        <f>IF(Data_input!I50="","",Data_input!I50)</f>
        <v/>
      </c>
      <c r="K50" t="str">
        <f>IF(Data_input!J50="","",Data_input!J50)</f>
        <v/>
      </c>
      <c r="L50" t="str">
        <f>IF(Data_input!K50="","",Data_input!K50)</f>
        <v/>
      </c>
      <c r="M50" t="str">
        <f>IF(Data_input!L50="","",Data_input!L50)</f>
        <v/>
      </c>
      <c r="N50" t="str">
        <f>IF(Data_input!M50="","",Data_input!M50)</f>
        <v/>
      </c>
      <c r="O50" t="str">
        <f>IF(Data_input!N50="","",Data_input!N50)</f>
        <v/>
      </c>
      <c r="P50" s="1" t="str">
        <f>IF(Data_input!O50="","",Data_input!O50)</f>
        <v/>
      </c>
      <c r="Q50" s="1" t="str">
        <f t="shared" si="3"/>
        <v/>
      </c>
      <c r="R50" s="3" t="str">
        <f>IF(Data_input!Q50="","",Data_input!Q50)</f>
        <v/>
      </c>
      <c r="S50" s="3" t="str">
        <f t="shared" si="5"/>
        <v/>
      </c>
      <c r="T50" s="1" t="str">
        <f>IF(LEN(TRIM(Data_input!P50))=0,"",Data_input!P50)</f>
        <v/>
      </c>
      <c r="U50" s="1" t="str">
        <f t="shared" si="6"/>
        <v/>
      </c>
      <c r="V50" s="1" t="str">
        <f t="shared" si="4"/>
        <v/>
      </c>
      <c r="W50" s="1" t="str">
        <f>IF(Data_input!R50="","",Data_input!R50)</f>
        <v/>
      </c>
      <c r="X50" s="1" t="str">
        <f>IF(Data_input!S50="","",Data_input!S50)</f>
        <v/>
      </c>
    </row>
    <row r="51" spans="1:24">
      <c r="A51" t="str">
        <f>IF(Data_input!A51="","",Data_input!A51)</f>
        <v/>
      </c>
      <c r="B51" t="str">
        <f>IF(Data_input!B51="","",Data_input!B51)</f>
        <v/>
      </c>
      <c r="C51" t="str">
        <f>IF(Data_input!C51="","",Data_input!C51)</f>
        <v/>
      </c>
      <c r="D51" t="str">
        <f>IF(Data_input!D51="","",Data_input!D51)</f>
        <v/>
      </c>
      <c r="E51" t="str">
        <f>IF(Data_input!E51="","",Data_input!E51)</f>
        <v/>
      </c>
      <c r="F51" t="str">
        <f>IF(Data_input!F51="","",Data_input!F51)</f>
        <v/>
      </c>
      <c r="G51" s="3" t="str">
        <f>IF(Data_input!G51="","",Data_input!G51)</f>
        <v/>
      </c>
      <c r="H51" s="1" t="str">
        <f>IF(Data_input!H51="","",Data_input!H51)</f>
        <v/>
      </c>
      <c r="I51" s="3" t="str">
        <f t="shared" si="2"/>
        <v/>
      </c>
      <c r="J51" s="4" t="str">
        <f>IF(Data_input!I51="","",Data_input!I51)</f>
        <v/>
      </c>
      <c r="K51" t="str">
        <f>IF(Data_input!J51="","",Data_input!J51)</f>
        <v/>
      </c>
      <c r="L51" t="str">
        <f>IF(Data_input!K51="","",Data_input!K51)</f>
        <v/>
      </c>
      <c r="M51" t="str">
        <f>IF(Data_input!L51="","",Data_input!L51)</f>
        <v/>
      </c>
      <c r="N51" t="str">
        <f>IF(Data_input!M51="","",Data_input!M51)</f>
        <v/>
      </c>
      <c r="O51" t="str">
        <f>IF(Data_input!N51="","",Data_input!N51)</f>
        <v/>
      </c>
      <c r="P51" s="1" t="str">
        <f>IF(Data_input!O51="","",Data_input!O51)</f>
        <v/>
      </c>
      <c r="Q51" s="1" t="str">
        <f t="shared" si="3"/>
        <v/>
      </c>
      <c r="R51" s="3" t="str">
        <f>IF(Data_input!Q51="","",Data_input!Q51)</f>
        <v/>
      </c>
      <c r="S51" s="3" t="str">
        <f t="shared" si="5"/>
        <v/>
      </c>
      <c r="T51" s="1" t="str">
        <f>IF(LEN(TRIM(Data_input!P51))=0,"",Data_input!P51)</f>
        <v/>
      </c>
      <c r="U51" s="1" t="str">
        <f t="shared" si="6"/>
        <v/>
      </c>
      <c r="V51" s="1" t="str">
        <f t="shared" si="4"/>
        <v/>
      </c>
      <c r="W51" s="1" t="str">
        <f>IF(Data_input!R51="","",Data_input!R51)</f>
        <v/>
      </c>
      <c r="X51" s="1" t="str">
        <f>IF(Data_input!S51="","",Data_input!S51)</f>
        <v/>
      </c>
    </row>
    <row r="52" spans="1:24">
      <c r="A52" t="str">
        <f>IF(Data_input!A52="","",Data_input!A52)</f>
        <v/>
      </c>
      <c r="B52" t="str">
        <f>IF(Data_input!B52="","",Data_input!B52)</f>
        <v/>
      </c>
      <c r="C52" t="str">
        <f>IF(Data_input!C52="","",Data_input!C52)</f>
        <v/>
      </c>
      <c r="D52" t="str">
        <f>IF(Data_input!D52="","",Data_input!D52)</f>
        <v/>
      </c>
      <c r="E52" t="str">
        <f>IF(Data_input!E52="","",Data_input!E52)</f>
        <v/>
      </c>
      <c r="F52" t="str">
        <f>IF(Data_input!F52="","",Data_input!F52)</f>
        <v/>
      </c>
      <c r="G52" s="3" t="str">
        <f>IF(Data_input!G52="","",Data_input!G52)</f>
        <v/>
      </c>
      <c r="H52" s="1" t="str">
        <f>IF(Data_input!H52="","",Data_input!H52)</f>
        <v/>
      </c>
      <c r="I52" s="3" t="str">
        <f t="shared" si="2"/>
        <v/>
      </c>
      <c r="J52" s="4" t="str">
        <f>IF(Data_input!I52="","",Data_input!I52)</f>
        <v/>
      </c>
      <c r="K52" t="str">
        <f>IF(Data_input!J52="","",Data_input!J52)</f>
        <v/>
      </c>
      <c r="L52" t="str">
        <f>IF(Data_input!K52="","",Data_input!K52)</f>
        <v/>
      </c>
      <c r="M52" t="str">
        <f>IF(Data_input!L52="","",Data_input!L52)</f>
        <v/>
      </c>
      <c r="N52" t="str">
        <f>IF(Data_input!M52="","",Data_input!M52)</f>
        <v/>
      </c>
      <c r="O52" t="str">
        <f>IF(Data_input!N52="","",Data_input!N52)</f>
        <v/>
      </c>
      <c r="P52" s="1" t="str">
        <f>IF(Data_input!O52="","",Data_input!O52)</f>
        <v/>
      </c>
      <c r="Q52" s="1" t="str">
        <f t="shared" si="3"/>
        <v/>
      </c>
      <c r="R52" s="3" t="str">
        <f>IF(Data_input!Q52="","",Data_input!Q52)</f>
        <v/>
      </c>
      <c r="S52" s="3" t="str">
        <f t="shared" si="5"/>
        <v/>
      </c>
      <c r="T52" s="1" t="str">
        <f>IF(LEN(TRIM(Data_input!P52))=0,"",Data_input!P52)</f>
        <v/>
      </c>
      <c r="U52" s="1" t="str">
        <f t="shared" si="6"/>
        <v/>
      </c>
      <c r="V52" s="1" t="str">
        <f t="shared" si="4"/>
        <v/>
      </c>
      <c r="W52" s="1" t="str">
        <f>IF(Data_input!R52="","",Data_input!R52)</f>
        <v/>
      </c>
      <c r="X52" s="1" t="str">
        <f>IF(Data_input!S52="","",Data_input!S52)</f>
        <v/>
      </c>
    </row>
    <row r="53" spans="1:24">
      <c r="A53" t="str">
        <f>IF(Data_input!A53="","",Data_input!A53)</f>
        <v/>
      </c>
      <c r="B53" t="str">
        <f>IF(Data_input!B53="","",Data_input!B53)</f>
        <v/>
      </c>
      <c r="C53" t="str">
        <f>IF(Data_input!C53="","",Data_input!C53)</f>
        <v/>
      </c>
      <c r="D53" t="str">
        <f>IF(Data_input!D53="","",Data_input!D53)</f>
        <v/>
      </c>
      <c r="E53" t="str">
        <f>IF(Data_input!E53="","",Data_input!E53)</f>
        <v/>
      </c>
      <c r="F53" t="str">
        <f>IF(Data_input!F53="","",Data_input!F53)</f>
        <v/>
      </c>
      <c r="G53" s="3" t="str">
        <f>IF(Data_input!G53="","",Data_input!G53)</f>
        <v/>
      </c>
      <c r="H53" s="1" t="str">
        <f>IF(Data_input!H53="","",Data_input!H53)</f>
        <v/>
      </c>
      <c r="I53" s="3" t="str">
        <f t="shared" si="2"/>
        <v/>
      </c>
      <c r="J53" s="4" t="str">
        <f>IF(Data_input!I53="","",Data_input!I53)</f>
        <v/>
      </c>
      <c r="K53" t="str">
        <f>IF(Data_input!J53="","",Data_input!J53)</f>
        <v/>
      </c>
      <c r="L53" t="str">
        <f>IF(Data_input!K53="","",Data_input!K53)</f>
        <v/>
      </c>
      <c r="M53" t="str">
        <f>IF(Data_input!L53="","",Data_input!L53)</f>
        <v/>
      </c>
      <c r="N53" t="str">
        <f>IF(Data_input!M53="","",Data_input!M53)</f>
        <v/>
      </c>
      <c r="O53" t="str">
        <f>IF(Data_input!N53="","",Data_input!N53)</f>
        <v/>
      </c>
      <c r="P53" s="1" t="str">
        <f>IF(Data_input!O53="","",Data_input!O53)</f>
        <v/>
      </c>
      <c r="Q53" s="1" t="str">
        <f t="shared" si="3"/>
        <v/>
      </c>
      <c r="R53" s="3" t="str">
        <f>IF(Data_input!Q53="","",Data_input!Q53)</f>
        <v/>
      </c>
      <c r="S53" s="3" t="str">
        <f t="shared" si="5"/>
        <v/>
      </c>
      <c r="T53" s="1" t="str">
        <f>IF(LEN(TRIM(Data_input!P53))=0,"",Data_input!P53)</f>
        <v/>
      </c>
      <c r="U53" s="1" t="str">
        <f t="shared" si="6"/>
        <v/>
      </c>
      <c r="V53" s="1" t="str">
        <f t="shared" si="4"/>
        <v/>
      </c>
      <c r="W53" s="1" t="str">
        <f>IF(Data_input!R53="","",Data_input!R53)</f>
        <v/>
      </c>
      <c r="X53" s="1" t="str">
        <f>IF(Data_input!S53="","",Data_input!S53)</f>
        <v/>
      </c>
    </row>
    <row r="54" spans="1:24">
      <c r="A54" t="str">
        <f>IF(Data_input!A54="","",Data_input!A54)</f>
        <v/>
      </c>
      <c r="B54" t="str">
        <f>IF(Data_input!B54="","",Data_input!B54)</f>
        <v/>
      </c>
      <c r="C54" t="str">
        <f>IF(Data_input!C54="","",Data_input!C54)</f>
        <v/>
      </c>
      <c r="D54" t="str">
        <f>IF(Data_input!D54="","",Data_input!D54)</f>
        <v/>
      </c>
      <c r="E54" t="str">
        <f>IF(Data_input!E54="","",Data_input!E54)</f>
        <v/>
      </c>
      <c r="F54" t="str">
        <f>IF(Data_input!F54="","",Data_input!F54)</f>
        <v/>
      </c>
      <c r="G54" s="3" t="str">
        <f>IF(Data_input!G54="","",Data_input!G54)</f>
        <v/>
      </c>
      <c r="H54" s="1" t="str">
        <f>IF(Data_input!H54="","",Data_input!H54)</f>
        <v/>
      </c>
      <c r="I54" s="3" t="str">
        <f t="shared" si="2"/>
        <v/>
      </c>
      <c r="J54" s="4" t="str">
        <f>IF(Data_input!I54="","",Data_input!I54)</f>
        <v/>
      </c>
      <c r="K54" t="str">
        <f>IF(Data_input!J54="","",Data_input!J54)</f>
        <v/>
      </c>
      <c r="L54" t="str">
        <f>IF(Data_input!K54="","",Data_input!K54)</f>
        <v/>
      </c>
      <c r="M54" t="str">
        <f>IF(Data_input!L54="","",Data_input!L54)</f>
        <v/>
      </c>
      <c r="N54" t="str">
        <f>IF(Data_input!M54="","",Data_input!M54)</f>
        <v/>
      </c>
      <c r="O54" t="str">
        <f>IF(Data_input!N54="","",Data_input!N54)</f>
        <v/>
      </c>
      <c r="P54" s="1" t="str">
        <f>IF(Data_input!O54="","",Data_input!O54)</f>
        <v/>
      </c>
      <c r="Q54" s="1" t="str">
        <f t="shared" si="3"/>
        <v/>
      </c>
      <c r="R54" s="3" t="str">
        <f>IF(Data_input!Q54="","",Data_input!Q54)</f>
        <v/>
      </c>
      <c r="S54" s="3" t="str">
        <f t="shared" si="5"/>
        <v/>
      </c>
      <c r="T54" s="1" t="str">
        <f>IF(LEN(TRIM(Data_input!P54))=0,"",Data_input!P54)</f>
        <v/>
      </c>
      <c r="U54" s="1" t="str">
        <f t="shared" si="6"/>
        <v/>
      </c>
      <c r="V54" s="1" t="str">
        <f t="shared" si="4"/>
        <v/>
      </c>
      <c r="W54" s="1" t="str">
        <f>IF(Data_input!R54="","",Data_input!R54)</f>
        <v/>
      </c>
      <c r="X54" s="1" t="str">
        <f>IF(Data_input!S54="","",Data_input!S54)</f>
        <v/>
      </c>
    </row>
    <row r="55" spans="1:24">
      <c r="A55" t="str">
        <f>IF(Data_input!A55="","",Data_input!A55)</f>
        <v/>
      </c>
      <c r="B55" t="str">
        <f>IF(Data_input!B55="","",Data_input!B55)</f>
        <v/>
      </c>
      <c r="C55" t="str">
        <f>IF(Data_input!C55="","",Data_input!C55)</f>
        <v/>
      </c>
      <c r="D55" t="str">
        <f>IF(Data_input!D55="","",Data_input!D55)</f>
        <v/>
      </c>
      <c r="E55" t="str">
        <f>IF(Data_input!E55="","",Data_input!E55)</f>
        <v/>
      </c>
      <c r="F55" t="str">
        <f>IF(Data_input!F55="","",Data_input!F55)</f>
        <v/>
      </c>
      <c r="G55" s="3" t="str">
        <f>IF(Data_input!G55="","",Data_input!G55)</f>
        <v/>
      </c>
      <c r="H55" s="1" t="str">
        <f>IF(Data_input!H55="","",Data_input!H55)</f>
        <v/>
      </c>
      <c r="I55" s="3" t="str">
        <f t="shared" si="2"/>
        <v/>
      </c>
      <c r="J55" s="4" t="str">
        <f>IF(Data_input!I55="","",Data_input!I55)</f>
        <v/>
      </c>
      <c r="K55" t="str">
        <f>IF(Data_input!J55="","",Data_input!J55)</f>
        <v/>
      </c>
      <c r="L55" t="str">
        <f>IF(Data_input!K55="","",Data_input!K55)</f>
        <v/>
      </c>
      <c r="M55" t="str">
        <f>IF(Data_input!L55="","",Data_input!L55)</f>
        <v/>
      </c>
      <c r="N55" t="str">
        <f>IF(Data_input!M55="","",Data_input!M55)</f>
        <v/>
      </c>
      <c r="O55" t="str">
        <f>IF(Data_input!N55="","",Data_input!N55)</f>
        <v/>
      </c>
      <c r="P55" s="1" t="str">
        <f>IF(Data_input!O55="","",Data_input!O55)</f>
        <v/>
      </c>
      <c r="Q55" s="1" t="str">
        <f t="shared" si="3"/>
        <v/>
      </c>
      <c r="R55" s="3" t="str">
        <f>IF(Data_input!Q55="","",Data_input!Q55)</f>
        <v/>
      </c>
      <c r="S55" s="3" t="str">
        <f t="shared" si="5"/>
        <v/>
      </c>
      <c r="T55" s="1" t="str">
        <f>IF(LEN(TRIM(Data_input!P55))=0,"",Data_input!P55)</f>
        <v/>
      </c>
      <c r="U55" s="1" t="str">
        <f t="shared" si="6"/>
        <v/>
      </c>
      <c r="V55" s="1" t="str">
        <f t="shared" si="4"/>
        <v/>
      </c>
      <c r="W55" s="1" t="str">
        <f>IF(Data_input!R55="","",Data_input!R55)</f>
        <v/>
      </c>
      <c r="X55" s="1" t="str">
        <f>IF(Data_input!S55="","",Data_input!S55)</f>
        <v/>
      </c>
    </row>
    <row r="56" spans="1:24">
      <c r="A56" t="str">
        <f>IF(Data_input!A56="","",Data_input!A56)</f>
        <v/>
      </c>
      <c r="B56" t="str">
        <f>IF(Data_input!B56="","",Data_input!B56)</f>
        <v/>
      </c>
      <c r="C56" t="str">
        <f>IF(Data_input!C56="","",Data_input!C56)</f>
        <v/>
      </c>
      <c r="D56" t="str">
        <f>IF(Data_input!D56="","",Data_input!D56)</f>
        <v/>
      </c>
      <c r="E56" t="str">
        <f>IF(Data_input!E56="","",Data_input!E56)</f>
        <v/>
      </c>
      <c r="F56" t="str">
        <f>IF(Data_input!F56="","",Data_input!F56)</f>
        <v/>
      </c>
      <c r="G56" s="3" t="str">
        <f>IF(Data_input!G56="","",Data_input!G56)</f>
        <v/>
      </c>
      <c r="H56" s="1" t="str">
        <f>IF(Data_input!H56="","",Data_input!H56)</f>
        <v/>
      </c>
      <c r="I56" s="3" t="str">
        <f t="shared" si="2"/>
        <v/>
      </c>
      <c r="J56" s="4" t="str">
        <f>IF(Data_input!I56="","",Data_input!I56)</f>
        <v/>
      </c>
      <c r="K56" t="str">
        <f>IF(Data_input!J56="","",Data_input!J56)</f>
        <v/>
      </c>
      <c r="L56" t="str">
        <f>IF(Data_input!K56="","",Data_input!K56)</f>
        <v/>
      </c>
      <c r="M56" t="str">
        <f>IF(Data_input!L56="","",Data_input!L56)</f>
        <v/>
      </c>
      <c r="N56" t="str">
        <f>IF(Data_input!M56="","",Data_input!M56)</f>
        <v/>
      </c>
      <c r="O56" t="str">
        <f>IF(Data_input!N56="","",Data_input!N56)</f>
        <v/>
      </c>
      <c r="P56" s="1" t="str">
        <f>IF(Data_input!O56="","",Data_input!O56)</f>
        <v/>
      </c>
      <c r="Q56" s="1" t="str">
        <f t="shared" si="3"/>
        <v/>
      </c>
      <c r="R56" s="3" t="str">
        <f>IF(Data_input!Q56="","",Data_input!Q56)</f>
        <v/>
      </c>
      <c r="S56" s="3" t="str">
        <f t="shared" si="5"/>
        <v/>
      </c>
      <c r="T56" s="1" t="str">
        <f>IF(LEN(TRIM(Data_input!P56))=0,"",Data_input!P56)</f>
        <v/>
      </c>
      <c r="U56" s="1" t="str">
        <f t="shared" si="6"/>
        <v/>
      </c>
      <c r="V56" s="1" t="str">
        <f t="shared" si="4"/>
        <v/>
      </c>
      <c r="W56" s="1" t="str">
        <f>IF(Data_input!R56="","",Data_input!R56)</f>
        <v/>
      </c>
      <c r="X56" s="1" t="str">
        <f>IF(Data_input!S56="","",Data_input!S56)</f>
        <v/>
      </c>
    </row>
    <row r="57" spans="1:24">
      <c r="A57" t="str">
        <f>IF(Data_input!A57="","",Data_input!A57)</f>
        <v/>
      </c>
      <c r="B57" t="str">
        <f>IF(Data_input!B57="","",Data_input!B57)</f>
        <v/>
      </c>
      <c r="C57" t="str">
        <f>IF(Data_input!C57="","",Data_input!C57)</f>
        <v/>
      </c>
      <c r="D57" t="str">
        <f>IF(Data_input!D57="","",Data_input!D57)</f>
        <v/>
      </c>
      <c r="E57" t="str">
        <f>IF(Data_input!E57="","",Data_input!E57)</f>
        <v/>
      </c>
      <c r="F57" t="str">
        <f>IF(Data_input!F57="","",Data_input!F57)</f>
        <v/>
      </c>
      <c r="G57" s="3" t="str">
        <f>IF(Data_input!G57="","",Data_input!G57)</f>
        <v/>
      </c>
      <c r="H57" s="1" t="str">
        <f>IF(Data_input!H57="","",Data_input!H57)</f>
        <v/>
      </c>
      <c r="I57" s="3" t="str">
        <f t="shared" si="2"/>
        <v/>
      </c>
      <c r="J57" s="4" t="str">
        <f>IF(Data_input!I57="","",Data_input!I57)</f>
        <v/>
      </c>
      <c r="K57" t="str">
        <f>IF(Data_input!J57="","",Data_input!J57)</f>
        <v/>
      </c>
      <c r="L57" t="str">
        <f>IF(Data_input!K57="","",Data_input!K57)</f>
        <v/>
      </c>
      <c r="M57" t="str">
        <f>IF(Data_input!L57="","",Data_input!L57)</f>
        <v/>
      </c>
      <c r="N57" t="str">
        <f>IF(Data_input!M57="","",Data_input!M57)</f>
        <v/>
      </c>
      <c r="O57" t="str">
        <f>IF(Data_input!N57="","",Data_input!N57)</f>
        <v/>
      </c>
      <c r="P57" s="1" t="str">
        <f>IF(Data_input!O57="","",Data_input!O57)</f>
        <v/>
      </c>
      <c r="Q57" s="1" t="str">
        <f t="shared" si="3"/>
        <v/>
      </c>
      <c r="R57" s="3" t="str">
        <f>IF(Data_input!Q57="","",Data_input!Q57)</f>
        <v/>
      </c>
      <c r="S57" s="3" t="str">
        <f t="shared" si="5"/>
        <v/>
      </c>
      <c r="T57" s="1" t="str">
        <f>IF(LEN(TRIM(Data_input!P57))=0,"",Data_input!P57)</f>
        <v/>
      </c>
      <c r="U57" s="1" t="str">
        <f t="shared" si="6"/>
        <v/>
      </c>
      <c r="V57" s="1" t="str">
        <f t="shared" si="4"/>
        <v/>
      </c>
      <c r="W57" s="1" t="str">
        <f>IF(Data_input!R57="","",Data_input!R57)</f>
        <v/>
      </c>
      <c r="X57" s="1" t="str">
        <f>IF(Data_input!S57="","",Data_input!S57)</f>
        <v/>
      </c>
    </row>
    <row r="58" spans="1:24">
      <c r="A58" t="str">
        <f>IF(Data_input!A58="","",Data_input!A58)</f>
        <v/>
      </c>
      <c r="B58" t="str">
        <f>IF(Data_input!B58="","",Data_input!B58)</f>
        <v/>
      </c>
      <c r="C58" t="str">
        <f>IF(Data_input!C58="","",Data_input!C58)</f>
        <v/>
      </c>
      <c r="D58" t="str">
        <f>IF(Data_input!D58="","",Data_input!D58)</f>
        <v/>
      </c>
      <c r="E58" t="str">
        <f>IF(Data_input!E58="","",Data_input!E58)</f>
        <v/>
      </c>
      <c r="F58" t="str">
        <f>IF(Data_input!F58="","",Data_input!F58)</f>
        <v/>
      </c>
      <c r="G58" s="3" t="str">
        <f>IF(Data_input!G58="","",Data_input!G58)</f>
        <v/>
      </c>
      <c r="H58" s="1" t="str">
        <f>IF(Data_input!H58="","",Data_input!H58)</f>
        <v/>
      </c>
      <c r="I58" s="3" t="str">
        <f t="shared" si="2"/>
        <v/>
      </c>
      <c r="J58" s="4" t="str">
        <f>IF(Data_input!I58="","",Data_input!I58)</f>
        <v/>
      </c>
      <c r="K58" t="str">
        <f>IF(Data_input!J58="","",Data_input!J58)</f>
        <v/>
      </c>
      <c r="L58" t="str">
        <f>IF(Data_input!K58="","",Data_input!K58)</f>
        <v/>
      </c>
      <c r="M58" t="str">
        <f>IF(Data_input!L58="","",Data_input!L58)</f>
        <v/>
      </c>
      <c r="N58" t="str">
        <f>IF(Data_input!M58="","",Data_input!M58)</f>
        <v/>
      </c>
      <c r="O58" t="str">
        <f>IF(Data_input!N58="","",Data_input!N58)</f>
        <v/>
      </c>
      <c r="P58" s="1" t="str">
        <f>IF(Data_input!O58="","",Data_input!O58)</f>
        <v/>
      </c>
      <c r="Q58" s="1" t="str">
        <f t="shared" si="3"/>
        <v/>
      </c>
      <c r="R58" s="3" t="str">
        <f>IF(Data_input!Q58="","",Data_input!Q58)</f>
        <v/>
      </c>
      <c r="S58" s="3" t="str">
        <f t="shared" si="5"/>
        <v/>
      </c>
      <c r="T58" s="1" t="str">
        <f>IF(LEN(TRIM(Data_input!P58))=0,"",Data_input!P58)</f>
        <v/>
      </c>
      <c r="U58" s="1" t="str">
        <f t="shared" si="6"/>
        <v/>
      </c>
      <c r="V58" s="1" t="str">
        <f t="shared" si="4"/>
        <v/>
      </c>
      <c r="W58" s="1" t="str">
        <f>IF(Data_input!R58="","",Data_input!R58)</f>
        <v/>
      </c>
      <c r="X58" s="1" t="str">
        <f>IF(Data_input!S58="","",Data_input!S58)</f>
        <v/>
      </c>
    </row>
    <row r="59" spans="1:24">
      <c r="A59" t="str">
        <f>IF(Data_input!A59="","",Data_input!A59)</f>
        <v/>
      </c>
      <c r="B59" t="str">
        <f>IF(Data_input!B59="","",Data_input!B59)</f>
        <v/>
      </c>
      <c r="C59" t="str">
        <f>IF(Data_input!C59="","",Data_input!C59)</f>
        <v/>
      </c>
      <c r="D59" t="str">
        <f>IF(Data_input!D59="","",Data_input!D59)</f>
        <v/>
      </c>
      <c r="E59" t="str">
        <f>IF(Data_input!E59="","",Data_input!E59)</f>
        <v/>
      </c>
      <c r="F59" t="str">
        <f>IF(Data_input!F59="","",Data_input!F59)</f>
        <v/>
      </c>
      <c r="G59" s="3" t="str">
        <f>IF(Data_input!G59="","",Data_input!G59)</f>
        <v/>
      </c>
      <c r="H59" s="1" t="str">
        <f>IF(Data_input!H59="","",Data_input!H59)</f>
        <v/>
      </c>
      <c r="I59" s="3" t="str">
        <f t="shared" si="2"/>
        <v/>
      </c>
      <c r="J59" s="4" t="str">
        <f>IF(Data_input!I59="","",Data_input!I59)</f>
        <v/>
      </c>
      <c r="K59" t="str">
        <f>IF(Data_input!J59="","",Data_input!J59)</f>
        <v/>
      </c>
      <c r="L59" t="str">
        <f>IF(Data_input!K59="","",Data_input!K59)</f>
        <v/>
      </c>
      <c r="M59" t="str">
        <f>IF(Data_input!L59="","",Data_input!L59)</f>
        <v/>
      </c>
      <c r="N59" t="str">
        <f>IF(Data_input!M59="","",Data_input!M59)</f>
        <v/>
      </c>
      <c r="O59" t="str">
        <f>IF(Data_input!N59="","",Data_input!N59)</f>
        <v/>
      </c>
      <c r="P59" s="1" t="str">
        <f>IF(Data_input!O59="","",Data_input!O59)</f>
        <v/>
      </c>
      <c r="Q59" s="1" t="str">
        <f t="shared" si="3"/>
        <v/>
      </c>
      <c r="R59" s="3" t="str">
        <f>IF(Data_input!Q59="","",Data_input!Q59)</f>
        <v/>
      </c>
      <c r="S59" s="3" t="str">
        <f t="shared" si="5"/>
        <v/>
      </c>
      <c r="T59" s="1" t="str">
        <f>IF(LEN(TRIM(Data_input!P59))=0,"",Data_input!P59)</f>
        <v/>
      </c>
      <c r="U59" s="1" t="str">
        <f t="shared" si="6"/>
        <v/>
      </c>
      <c r="V59" s="1" t="str">
        <f t="shared" si="4"/>
        <v/>
      </c>
      <c r="W59" s="1" t="str">
        <f>IF(Data_input!R59="","",Data_input!R59)</f>
        <v/>
      </c>
      <c r="X59" s="1" t="str">
        <f>IF(Data_input!S59="","",Data_input!S59)</f>
        <v/>
      </c>
    </row>
    <row r="60" spans="1:24">
      <c r="A60" t="str">
        <f>IF(Data_input!A60="","",Data_input!A60)</f>
        <v/>
      </c>
      <c r="B60" t="str">
        <f>IF(Data_input!B60="","",Data_input!B60)</f>
        <v/>
      </c>
      <c r="C60" t="str">
        <f>IF(Data_input!C60="","",Data_input!C60)</f>
        <v/>
      </c>
      <c r="D60" t="str">
        <f>IF(Data_input!D60="","",Data_input!D60)</f>
        <v/>
      </c>
      <c r="E60" t="str">
        <f>IF(Data_input!E60="","",Data_input!E60)</f>
        <v/>
      </c>
      <c r="F60" t="str">
        <f>IF(Data_input!F60="","",Data_input!F60)</f>
        <v/>
      </c>
      <c r="G60" s="3" t="str">
        <f>IF(Data_input!G60="","",Data_input!G60)</f>
        <v/>
      </c>
      <c r="H60" s="1" t="str">
        <f>IF(Data_input!H60="","",Data_input!H60)</f>
        <v/>
      </c>
      <c r="I60" s="3" t="str">
        <f t="shared" ref="I60" si="7">IF(OR(H60="",L60=""),"",IF(L60="Full-Time",EDATE(H60,12*5),EDATE(H60,12*7)))</f>
        <v/>
      </c>
      <c r="J60" s="4" t="str">
        <f>IF(Data_input!I60="","",Data_input!I60)</f>
        <v/>
      </c>
      <c r="K60" t="str">
        <f>IF(Data_input!J60="","",Data_input!J60)</f>
        <v/>
      </c>
      <c r="L60" t="str">
        <f>IF(Data_input!K60="","",Data_input!K60)</f>
        <v/>
      </c>
      <c r="M60" t="str">
        <f>IF(Data_input!L60="","",Data_input!L60)</f>
        <v/>
      </c>
      <c r="N60" t="str">
        <f>IF(Data_input!M60="","",Data_input!M60)</f>
        <v/>
      </c>
      <c r="O60" t="str">
        <f>IF(Data_input!N60="","",Data_input!N60)</f>
        <v/>
      </c>
      <c r="P60" s="1" t="str">
        <f>IF(Data_input!O60="","",Data_input!O60)</f>
        <v/>
      </c>
      <c r="Q60" s="1" t="str">
        <f t="shared" si="3"/>
        <v/>
      </c>
      <c r="R60" s="3" t="str">
        <f>IF(Data_input!Q60="","",Data_input!Q60)</f>
        <v/>
      </c>
      <c r="S60" s="3" t="str">
        <f t="shared" si="5"/>
        <v/>
      </c>
      <c r="T60" s="1" t="str">
        <f>IF(LEN(TRIM(Data_input!P60))=0,"",Data_input!P60)</f>
        <v/>
      </c>
      <c r="U60" s="1" t="str">
        <f t="shared" si="6"/>
        <v/>
      </c>
      <c r="V60" s="1" t="str">
        <f t="shared" si="4"/>
        <v/>
      </c>
      <c r="W60" s="1" t="str">
        <f>IF(Data_input!R60="","",Data_input!R60)</f>
        <v/>
      </c>
      <c r="X60" s="1" t="str">
        <f>IF(Data_input!S60="","",Data_input!S60)</f>
        <v/>
      </c>
    </row>
    <row r="61" spans="1:24">
      <c r="A61" t="str">
        <f>IF(Data_input!A61="","",Data_input!A61)</f>
        <v/>
      </c>
      <c r="J61" s="4" t="str">
        <f>IF(Data_input!I61="","",Data_input!I61)</f>
        <v/>
      </c>
    </row>
    <row r="62" spans="1:24">
      <c r="A62" t="str">
        <f>IF(Data_input!A62="","",Data_input!A62)</f>
        <v/>
      </c>
    </row>
    <row r="63" spans="1:24">
      <c r="A63" t="str">
        <f>IF(Data_input!A63="","",Data_input!A63)</f>
        <v/>
      </c>
    </row>
    <row r="64" spans="1:24">
      <c r="A64" t="str">
        <f>IF(Data_input!A64="","",Data_input!A64)</f>
        <v/>
      </c>
    </row>
    <row r="65" spans="1:1">
      <c r="A65" t="str">
        <f>IF(Data_input!A65="","",Data_input!A65)</f>
        <v/>
      </c>
    </row>
    <row r="66" spans="1:1">
      <c r="A66" t="str">
        <f>IF(Data_input!A66="","",Data_input!A66)</f>
        <v/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EC96-CC51-4F2A-B92F-40C72150CC1E}">
  <dimension ref="A1:U66"/>
  <sheetViews>
    <sheetView workbookViewId="0">
      <selection activeCell="M5" sqref="M5"/>
    </sheetView>
  </sheetViews>
  <sheetFormatPr defaultRowHeight="13.8"/>
  <cols>
    <col min="1" max="1" width="12.21875" customWidth="1"/>
    <col min="2" max="2" width="14" customWidth="1"/>
    <col min="3" max="3" width="33.5546875" customWidth="1"/>
    <col min="4" max="4" width="25.21875" customWidth="1"/>
    <col min="5" max="5" width="18" customWidth="1"/>
    <col min="6" max="6" width="14" customWidth="1"/>
    <col min="7" max="7" width="12.5546875" customWidth="1"/>
    <col min="8" max="8" width="13.21875" customWidth="1"/>
    <col min="9" max="9" width="12.21875" customWidth="1"/>
    <col min="10" max="10" width="12.77734375" customWidth="1"/>
    <col min="11" max="11" width="13.21875" customWidth="1"/>
    <col min="12" max="12" width="14.109375" customWidth="1"/>
    <col min="13" max="13" width="12.6640625" customWidth="1"/>
    <col min="14" max="14" width="12.5546875" customWidth="1"/>
    <col min="15" max="15" width="12.6640625" customWidth="1"/>
    <col min="16" max="16" width="14.109375" customWidth="1"/>
    <col min="17" max="17" width="14.33203125" customWidth="1"/>
    <col min="18" max="18" width="14.109375" customWidth="1"/>
    <col min="19" max="19" width="16.5546875" customWidth="1"/>
    <col min="20" max="20" width="15.77734375" customWidth="1"/>
    <col min="21" max="21" width="14.6640625" customWidth="1"/>
  </cols>
  <sheetData>
    <row r="1" spans="1:21">
      <c r="A1" t="s">
        <v>0</v>
      </c>
      <c r="B1" t="s">
        <v>1</v>
      </c>
      <c r="C1" t="s">
        <v>2</v>
      </c>
      <c r="D1" t="s">
        <v>12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107</v>
      </c>
      <c r="R1" t="s">
        <v>108</v>
      </c>
      <c r="S1" t="s">
        <v>109</v>
      </c>
      <c r="T1" t="s">
        <v>110</v>
      </c>
      <c r="U1" t="s">
        <v>89</v>
      </c>
    </row>
    <row r="2" spans="1:21">
      <c r="A2" t="str">
        <f>IF(Data_input!A2="","",Data_input!A2)</f>
        <v>247R1</v>
      </c>
      <c r="B2" t="str">
        <f>IF(Data_input!B2="","",Data_input!B2)</f>
        <v>250PA247R8</v>
      </c>
      <c r="C2" t="str">
        <f>IF(Data_input!C2="","",Data_input!C2)</f>
        <v>USMAN YAU</v>
      </c>
      <c r="D2" t="str">
        <f>IF(Data_input!L2="","",Data_input!L2)</f>
        <v>Ph.D. (Eng)</v>
      </c>
      <c r="E2" t="s">
        <v>102</v>
      </c>
      <c r="F2" t="s">
        <v>102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U2">
        <f>IF(A2="","",
IF(COUNTIF(E2:T2,"US")&gt;=3,0,
10-COUNTIF(E2:T2,"US")))</f>
        <v>10</v>
      </c>
    </row>
    <row r="3" spans="1:21">
      <c r="A3" t="str">
        <f>IF(Data_input!A3="","",Data_input!A3)</f>
        <v>247R4</v>
      </c>
      <c r="B3" t="str">
        <f>IF(Data_input!B3="","",Data_input!B3)</f>
        <v>250PA247R1</v>
      </c>
      <c r="C3" t="str">
        <f>IF(Data_input!C3="","",Data_input!C3)</f>
        <v>KHAN IRFAN</v>
      </c>
      <c r="D3" t="str">
        <f>IF(Data_input!L3="","",Data_input!L3)</f>
        <v>Ph.D. (Eng)</v>
      </c>
      <c r="E3" t="s">
        <v>103</v>
      </c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U3">
        <f t="shared" ref="U3:U60" si="0">IF(A3="","",
IF(COUNTIF(E3:T3,"US")&gt;=3,0,
10-COUNTIF(E3:T3,"US")))</f>
        <v>10</v>
      </c>
    </row>
    <row r="4" spans="1:21">
      <c r="A4" t="str">
        <f>IF(Data_input!A4="","",Data_input!A4)</f>
        <v>247R8</v>
      </c>
      <c r="B4" t="str">
        <f>IF(Data_input!B4="","",Data_input!B4)</f>
        <v>250PA247R2</v>
      </c>
      <c r="C4" t="str">
        <f>IF(Data_input!C4="","",Data_input!C4)</f>
        <v>JAYAKANTHAN A/L M. LACHMANAN</v>
      </c>
      <c r="D4" t="str">
        <f>IF(Data_input!L4="","",Data_input!L4)</f>
        <v>Ph.D. (Eng)</v>
      </c>
      <c r="E4" t="s">
        <v>104</v>
      </c>
      <c r="F4" t="s">
        <v>104</v>
      </c>
      <c r="G4" t="s">
        <v>102</v>
      </c>
      <c r="H4" t="s">
        <v>102</v>
      </c>
      <c r="I4" t="s">
        <v>102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U4">
        <f t="shared" si="0"/>
        <v>8</v>
      </c>
    </row>
    <row r="5" spans="1:21">
      <c r="A5" t="str">
        <f>IF(Data_input!A5="","",Data_input!A5)</f>
        <v>247R3</v>
      </c>
      <c r="B5" t="str">
        <f>IF(Data_input!B5="","",Data_input!B5)</f>
        <v>250PA247R5</v>
      </c>
      <c r="C5" t="str">
        <f>IF(Data_input!C5="","",Data_input!C5)</f>
        <v>IDRIS OLALEKAN ADEOYE</v>
      </c>
      <c r="D5" t="str">
        <f>IF(Data_input!L5="","",Data_input!L5)</f>
        <v>Ph.D. (Eng)</v>
      </c>
      <c r="E5" t="s">
        <v>102</v>
      </c>
      <c r="F5" t="s">
        <v>102</v>
      </c>
      <c r="G5" t="s">
        <v>102</v>
      </c>
      <c r="H5" t="s">
        <v>102</v>
      </c>
      <c r="I5" t="s">
        <v>102</v>
      </c>
      <c r="J5" t="s">
        <v>102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U5">
        <f t="shared" si="0"/>
        <v>10</v>
      </c>
    </row>
    <row r="6" spans="1:21">
      <c r="A6" t="str">
        <f>IF(Data_input!A6="","",Data_input!A6)</f>
        <v>247R7</v>
      </c>
      <c r="B6" t="str">
        <f>IF(Data_input!B6="","",Data_input!B6)</f>
        <v>250PA247R7</v>
      </c>
      <c r="C6" t="str">
        <f>IF(Data_input!C6="","",Data_input!C6)</f>
        <v>NUHU DAN-AZUMI MUHAMMAD</v>
      </c>
      <c r="D6" t="str">
        <f>IF(Data_input!L6="","",Data_input!L6)</f>
        <v>Ph.D. (Eng)</v>
      </c>
      <c r="E6" t="s">
        <v>102</v>
      </c>
      <c r="F6" t="s">
        <v>102</v>
      </c>
      <c r="G6" t="s">
        <v>102</v>
      </c>
      <c r="H6" t="s">
        <v>102</v>
      </c>
      <c r="I6" t="s">
        <v>102</v>
      </c>
      <c r="J6" t="s">
        <v>102</v>
      </c>
      <c r="K6" t="s">
        <v>102</v>
      </c>
      <c r="L6" t="s">
        <v>102</v>
      </c>
      <c r="M6" t="s">
        <v>103</v>
      </c>
      <c r="N6" t="s">
        <v>102</v>
      </c>
      <c r="O6" t="s">
        <v>102</v>
      </c>
      <c r="P6" t="s">
        <v>102</v>
      </c>
      <c r="U6">
        <f t="shared" si="0"/>
        <v>10</v>
      </c>
    </row>
    <row r="7" spans="1:21">
      <c r="A7" t="str">
        <f>IF(Data_input!A7="","",Data_input!A7)</f>
        <v>2508F</v>
      </c>
      <c r="B7" t="str">
        <f>IF(Data_input!B7="","",Data_input!B7)</f>
        <v>250PA257R3</v>
      </c>
      <c r="C7" t="str">
        <f>IF(Data_input!C7="","",Data_input!C7)</f>
        <v>NAZ ANUM</v>
      </c>
      <c r="D7" t="str">
        <f>IF(Data_input!L7="","",Data_input!L7)</f>
        <v>Ph.D. (Eng)</v>
      </c>
      <c r="E7" t="s">
        <v>102</v>
      </c>
      <c r="F7" t="s">
        <v>102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U7">
        <f t="shared" si="0"/>
        <v>10</v>
      </c>
    </row>
    <row r="8" spans="1:21">
      <c r="A8" t="str">
        <f>IF(Data_input!A8="","",Data_input!A8)</f>
        <v>243YN</v>
      </c>
      <c r="B8" t="str">
        <f>IF(Data_input!B8="","",Data_input!B8)</f>
        <v>250PA237R1</v>
      </c>
      <c r="C8" t="str">
        <f>IF(Data_input!C8="","",Data_input!C8)</f>
        <v>NUR SYAZA BINTI ZAKARIA</v>
      </c>
      <c r="D8" t="str">
        <f>IF(Data_input!L8="","",Data_input!L8)</f>
        <v>Ph.D. (Eng)</v>
      </c>
      <c r="E8" t="s">
        <v>104</v>
      </c>
      <c r="F8" t="s">
        <v>102</v>
      </c>
      <c r="G8" t="s">
        <v>102</v>
      </c>
      <c r="H8" t="s">
        <v>104</v>
      </c>
      <c r="I8" t="s">
        <v>102</v>
      </c>
      <c r="J8" t="s">
        <v>102</v>
      </c>
      <c r="K8" t="s">
        <v>104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U8">
        <f t="shared" si="0"/>
        <v>0</v>
      </c>
    </row>
    <row r="9" spans="1:21">
      <c r="A9" t="str">
        <f>IF(Data_input!A9="","",Data_input!A9)</f>
        <v>251D4</v>
      </c>
      <c r="B9" t="str">
        <f>IF(Data_input!B9="","",Data_input!B9)</f>
        <v>250PK242QD</v>
      </c>
      <c r="C9" t="str">
        <f>IF(Data_input!C9="","",Data_input!C9)</f>
        <v>YANG XIAO</v>
      </c>
      <c r="D9" t="str">
        <f>IF(Data_input!L9="","",Data_input!L9)</f>
        <v>Ph.D. (Communication)</v>
      </c>
      <c r="E9" t="s">
        <v>104</v>
      </c>
      <c r="F9" t="s">
        <v>102</v>
      </c>
      <c r="G9" t="s">
        <v>102</v>
      </c>
      <c r="H9" t="s">
        <v>104</v>
      </c>
      <c r="I9" t="s">
        <v>102</v>
      </c>
      <c r="J9" t="s">
        <v>102</v>
      </c>
      <c r="K9" t="s">
        <v>104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U9">
        <f t="shared" si="0"/>
        <v>0</v>
      </c>
    </row>
    <row r="10" spans="1:21">
      <c r="A10" t="str">
        <f>IF(Data_input!A10="","",Data_input!A10)</f>
        <v>2458H</v>
      </c>
      <c r="B10" t="str">
        <f>IF(Data_input!B10="","",Data_input!B10)</f>
        <v>250PK232QD</v>
      </c>
      <c r="C10" t="str">
        <f>IF(Data_input!C10="","",Data_input!C10)</f>
        <v>MD MUSLIM UDDIN AHMED PIPUL</v>
      </c>
      <c r="D10" t="str">
        <f>IF(Data_input!L10="","",Data_input!L10)</f>
        <v>Ph.D. (Communication)</v>
      </c>
      <c r="E10" t="s">
        <v>104</v>
      </c>
      <c r="F10" t="s">
        <v>102</v>
      </c>
      <c r="G10" t="s">
        <v>102</v>
      </c>
      <c r="H10" t="s">
        <v>104</v>
      </c>
      <c r="I10" t="s">
        <v>102</v>
      </c>
      <c r="J10" t="s">
        <v>104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U10">
        <f t="shared" si="0"/>
        <v>0</v>
      </c>
    </row>
    <row r="11" spans="1:21">
      <c r="A11" t="str">
        <f>IF(Data_input!A11="","",Data_input!A11)</f>
        <v>252QD</v>
      </c>
      <c r="B11" t="str">
        <f>IF(Data_input!B11="","",Data_input!B11)</f>
        <v>250PK222QD</v>
      </c>
      <c r="C11" t="str">
        <f>IF(Data_input!C11="","",Data_input!C11)</f>
        <v>JOANNA A/P JAYAPRAKASH</v>
      </c>
      <c r="D11" t="str">
        <f>IF(Data_input!L11="","",Data_input!L11)</f>
        <v>Ph.D. (Communication)</v>
      </c>
      <c r="E11" t="s">
        <v>102</v>
      </c>
      <c r="F11" t="s">
        <v>102</v>
      </c>
      <c r="G11" t="s">
        <v>102</v>
      </c>
      <c r="H11" t="s">
        <v>104</v>
      </c>
      <c r="I11" t="s">
        <v>104</v>
      </c>
      <c r="J11" t="s">
        <v>104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>
        <f t="shared" si="0"/>
        <v>0</v>
      </c>
    </row>
    <row r="12" spans="1:21">
      <c r="A12" t="str">
        <f>IF(Data_input!A12="","",Data_input!A12)</f>
        <v>243YN</v>
      </c>
      <c r="B12" t="str">
        <f>IF(Data_input!B12="","",Data_input!B12)</f>
        <v>250PK212QD</v>
      </c>
      <c r="C12" t="str">
        <f>IF(Data_input!C12="","",Data_input!C12)</f>
        <v>HAMZA BASHER ALAMIN BARKA</v>
      </c>
      <c r="D12" t="str">
        <f>IF(Data_input!L12="","",Data_input!L12)</f>
        <v>Ph.D. (Communication)</v>
      </c>
      <c r="E12" t="s">
        <v>102</v>
      </c>
      <c r="F12" t="s">
        <v>102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>
        <f t="shared" si="0"/>
        <v>10</v>
      </c>
    </row>
    <row r="13" spans="1:21">
      <c r="A13" t="str">
        <f>IF(Data_input!A13="","",Data_input!A13)</f>
        <v>247R7</v>
      </c>
      <c r="B13" t="str">
        <f>IF(Data_input!B13="","",Data_input!B13)</f>
        <v>250PK272QD</v>
      </c>
      <c r="C13" t="str">
        <f>IF(Data_input!C13="","",Data_input!C13)</f>
        <v>NAHIDA FERDOUS</v>
      </c>
      <c r="D13" t="str">
        <f>IF(Data_input!L13="","",Data_input!L13)</f>
        <v>Ph.D. (Communication)</v>
      </c>
      <c r="E13" t="s">
        <v>102</v>
      </c>
      <c r="F13" t="s">
        <v>102</v>
      </c>
      <c r="G13" t="s">
        <v>102</v>
      </c>
      <c r="H13" t="s">
        <v>102</v>
      </c>
      <c r="I13" t="s">
        <v>102</v>
      </c>
      <c r="J13" t="s">
        <v>102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>
        <f t="shared" si="0"/>
        <v>10</v>
      </c>
    </row>
    <row r="14" spans="1:21">
      <c r="A14" t="str">
        <f>IF(Data_input!A14="","",Data_input!A14)</f>
        <v>2458H</v>
      </c>
      <c r="B14" t="str">
        <f>IF(Data_input!B14="","",Data_input!B14)</f>
        <v>250PK251QD</v>
      </c>
      <c r="C14" t="str">
        <f>IF(Data_input!C14="","",Data_input!C14)</f>
        <v>NAHIDA ANUM</v>
      </c>
      <c r="D14" t="str">
        <f>IF(Data_input!L14="","",Data_input!L14)</f>
        <v>Ph.D. (Communication)</v>
      </c>
      <c r="E14" t="s">
        <v>102</v>
      </c>
      <c r="F14" t="s">
        <v>102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>
        <f t="shared" si="0"/>
        <v>10</v>
      </c>
    </row>
    <row r="15" spans="1:21">
      <c r="A15" t="str">
        <f>IF(Data_input!A15="","",Data_input!A15)</f>
        <v>245YK</v>
      </c>
      <c r="B15" t="str">
        <f>IF(Data_input!B15="","",Data_input!B15)</f>
        <v>250PB252PD</v>
      </c>
      <c r="C15" t="str">
        <f>IF(Data_input!C15="","",Data_input!C15)</f>
        <v>KHAN FERDOUS</v>
      </c>
      <c r="D15" t="str">
        <f>IF(Data_input!L15="","",Data_input!L15)</f>
        <v>Ph.D. (Mgmt.)</v>
      </c>
      <c r="E15" t="s">
        <v>102</v>
      </c>
      <c r="F15" t="s">
        <v>102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104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>
        <f t="shared" si="0"/>
        <v>9</v>
      </c>
    </row>
    <row r="16" spans="1:21">
      <c r="A16" t="str">
        <f>IF(Data_input!A16="","",Data_input!A16)</f>
        <v>245ZK</v>
      </c>
      <c r="B16" t="str">
        <f>IF(Data_input!B16="","",Data_input!B16)</f>
        <v>250PB244PD</v>
      </c>
      <c r="C16" t="str">
        <f>IF(Data_input!C16="","",Data_input!C16)</f>
        <v>PUARA A/P LACHMANAN</v>
      </c>
      <c r="D16" t="str">
        <f>IF(Data_input!L16="","",Data_input!L16)</f>
        <v>Ph.D. (Mgmt.)</v>
      </c>
      <c r="E16" t="s">
        <v>102</v>
      </c>
      <c r="F16" t="s">
        <v>102</v>
      </c>
      <c r="G16" t="s">
        <v>102</v>
      </c>
      <c r="H16" t="s">
        <v>102</v>
      </c>
      <c r="I16" t="s">
        <v>102</v>
      </c>
      <c r="J16" t="s">
        <v>102</v>
      </c>
      <c r="K16" t="s">
        <v>102</v>
      </c>
      <c r="L16" t="s">
        <v>104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>
        <f t="shared" si="0"/>
        <v>9</v>
      </c>
    </row>
    <row r="17" spans="1:21">
      <c r="A17" t="str">
        <f>IF(Data_input!A17="","",Data_input!A17)</f>
        <v>245RK</v>
      </c>
      <c r="B17" t="str">
        <f>IF(Data_input!B17="","",Data_input!B17)</f>
        <v>250PB258PD</v>
      </c>
      <c r="C17" t="str">
        <f>IF(Data_input!C17="","",Data_input!C17)</f>
        <v>YONG YU KIN</v>
      </c>
      <c r="D17" t="str">
        <f>IF(Data_input!L17="","",Data_input!L17)</f>
        <v>Ph.D. (Mgmt.)</v>
      </c>
      <c r="E17" t="s">
        <v>102</v>
      </c>
      <c r="F17" t="s">
        <v>102</v>
      </c>
      <c r="G17" t="s">
        <v>103</v>
      </c>
      <c r="H17" t="s">
        <v>102</v>
      </c>
      <c r="I17" t="s">
        <v>102</v>
      </c>
      <c r="J17" t="s">
        <v>102</v>
      </c>
      <c r="K17" t="s">
        <v>102</v>
      </c>
      <c r="L17" t="s">
        <v>104</v>
      </c>
      <c r="M17" t="s">
        <v>104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>
        <f t="shared" si="0"/>
        <v>8</v>
      </c>
    </row>
    <row r="18" spans="1:21">
      <c r="A18" t="str">
        <f>IF(Data_input!A18="","",Data_input!A18)</f>
        <v>247R7</v>
      </c>
      <c r="B18" t="str">
        <f>IF(Data_input!B18="","",Data_input!B18)</f>
        <v>250PB259PD</v>
      </c>
      <c r="C18" t="str">
        <f>IF(Data_input!C18="","",Data_input!C18)</f>
        <v>WONG KIN HUAT</v>
      </c>
      <c r="D18" t="str">
        <f>IF(Data_input!L18="","",Data_input!L18)</f>
        <v>Ph.D. (Mgmt.)</v>
      </c>
      <c r="E18" t="s">
        <v>102</v>
      </c>
      <c r="F18" t="s">
        <v>102</v>
      </c>
      <c r="G18" t="s">
        <v>102</v>
      </c>
      <c r="H18" t="s">
        <v>102</v>
      </c>
      <c r="I18" t="s">
        <v>103</v>
      </c>
      <c r="J18" t="s">
        <v>102</v>
      </c>
      <c r="K18" t="s">
        <v>102</v>
      </c>
      <c r="L18" t="s">
        <v>103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>
        <f t="shared" si="0"/>
        <v>10</v>
      </c>
    </row>
    <row r="19" spans="1:21">
      <c r="A19" t="str">
        <f>IF(Data_input!A19="","",Data_input!A19)</f>
        <v>247R8</v>
      </c>
      <c r="B19" t="str">
        <f>IF(Data_input!B19="","",Data_input!B19)</f>
        <v>250PB260PD</v>
      </c>
      <c r="C19" t="str">
        <f>IF(Data_input!C19="","",Data_input!C19)</f>
        <v>WONG KANG JUN</v>
      </c>
      <c r="D19" t="str">
        <f>IF(Data_input!L19="","",Data_input!L19)</f>
        <v>Ph.D. (Mgmt.)</v>
      </c>
      <c r="E19" t="s">
        <v>102</v>
      </c>
      <c r="F19" t="s">
        <v>102</v>
      </c>
      <c r="G19" t="s">
        <v>102</v>
      </c>
      <c r="H19" t="s">
        <v>102</v>
      </c>
      <c r="I19" t="s">
        <v>102</v>
      </c>
      <c r="J19" t="s">
        <v>102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104</v>
      </c>
      <c r="R19" t="s">
        <v>104</v>
      </c>
      <c r="S19" t="s">
        <v>104</v>
      </c>
      <c r="U19">
        <f t="shared" si="0"/>
        <v>0</v>
      </c>
    </row>
    <row r="20" spans="1:21">
      <c r="A20" t="str">
        <f>IF(Data_input!A20="","",Data_input!A20)</f>
        <v>247R9</v>
      </c>
      <c r="B20" t="str">
        <f>IF(Data_input!B20="","",Data_input!B20)</f>
        <v>250PA213RK</v>
      </c>
      <c r="C20" t="str">
        <f>IF(Data_input!C20="","",Data_input!C20)</f>
        <v xml:space="preserve">AHMAD FAISAL BIN YUSOF  </v>
      </c>
      <c r="D20" t="str">
        <f>IF(Data_input!L20="","",Data_input!L20)</f>
        <v>Ph.D. (Mgmt.)</v>
      </c>
      <c r="E20" t="s">
        <v>102</v>
      </c>
      <c r="F20" t="s">
        <v>102</v>
      </c>
      <c r="G20" t="s">
        <v>102</v>
      </c>
      <c r="H20" t="s">
        <v>102</v>
      </c>
      <c r="I20" t="s">
        <v>102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104</v>
      </c>
      <c r="R20" t="s">
        <v>104</v>
      </c>
      <c r="S20" t="s">
        <v>104</v>
      </c>
      <c r="U20">
        <f t="shared" si="0"/>
        <v>0</v>
      </c>
    </row>
    <row r="21" spans="1:21">
      <c r="A21" t="str">
        <f>IF(Data_input!A21="","",Data_input!A21)</f>
        <v>243A9</v>
      </c>
      <c r="B21" t="str">
        <f>IF(Data_input!B21="","",Data_input!B21)</f>
        <v>250PK245T1</v>
      </c>
      <c r="C21" t="str">
        <f>IF(Data_input!C21="","",Data_input!C21)</f>
        <v>HANG JIA YEE</v>
      </c>
      <c r="D21" t="str">
        <f>IF(Data_input!L21="","",Data_input!L21)</f>
        <v>Master (Mgmt)</v>
      </c>
      <c r="E21" t="s">
        <v>102</v>
      </c>
      <c r="F21" t="s">
        <v>102</v>
      </c>
      <c r="G21" t="s">
        <v>102</v>
      </c>
      <c r="H21" t="s">
        <v>102</v>
      </c>
      <c r="I21" t="s">
        <v>102</v>
      </c>
      <c r="J21" t="s">
        <v>102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104</v>
      </c>
      <c r="R21" t="s">
        <v>104</v>
      </c>
      <c r="S21" t="s">
        <v>104</v>
      </c>
      <c r="U21">
        <f t="shared" si="0"/>
        <v>0</v>
      </c>
    </row>
    <row r="22" spans="1:21">
      <c r="A22" t="str">
        <f>IF(Data_input!A22="","",Data_input!A22)</f>
        <v>248RK</v>
      </c>
      <c r="B22" t="str">
        <f>IF(Data_input!B22="","",Data_input!B22)</f>
        <v>250PH272RM</v>
      </c>
      <c r="C22" t="str">
        <f>IF(Data_input!C22="","",Data_input!C22)</f>
        <v xml:space="preserve">LEE KOK MING  </v>
      </c>
      <c r="D22" t="str">
        <f>IF(Data_input!L22="","",Data_input!L22)</f>
        <v>Master (Mgmt)</v>
      </c>
      <c r="E22" t="s">
        <v>102</v>
      </c>
      <c r="F22" t="s">
        <v>102</v>
      </c>
      <c r="G22" t="s">
        <v>102</v>
      </c>
      <c r="H22" t="s">
        <v>102</v>
      </c>
      <c r="I22" t="s">
        <v>102</v>
      </c>
      <c r="J22" t="s">
        <v>102</v>
      </c>
      <c r="K22" t="s">
        <v>102</v>
      </c>
      <c r="L22" t="s">
        <v>102</v>
      </c>
      <c r="U22">
        <f t="shared" si="0"/>
        <v>10</v>
      </c>
    </row>
    <row r="23" spans="1:21">
      <c r="A23" t="str">
        <f>IF(Data_input!A23="","",Data_input!A23)</f>
        <v>249YH</v>
      </c>
      <c r="B23" t="str">
        <f>IF(Data_input!B23="","",Data_input!B23)</f>
        <v>250PN281Q2</v>
      </c>
      <c r="C23" t="str">
        <f>IF(Data_input!C23="","",Data_input!C23)</f>
        <v>SITI NUR AIN BINTI RAHMAN</v>
      </c>
      <c r="D23" t="str">
        <f>IF(Data_input!L23="","",Data_input!L23)</f>
        <v>Master (Mgmt)</v>
      </c>
      <c r="E23" t="s">
        <v>102</v>
      </c>
      <c r="F23" t="s">
        <v>102</v>
      </c>
      <c r="G23" t="s">
        <v>102</v>
      </c>
      <c r="H23" t="s">
        <v>102</v>
      </c>
      <c r="I23" t="s">
        <v>102</v>
      </c>
      <c r="J23" t="s">
        <v>102</v>
      </c>
      <c r="K23" t="s">
        <v>102</v>
      </c>
      <c r="L23" t="s">
        <v>102</v>
      </c>
      <c r="U23">
        <f t="shared" si="0"/>
        <v>10</v>
      </c>
    </row>
    <row r="24" spans="1:21">
      <c r="A24" t="str">
        <f>IF(Data_input!A24="","",Data_input!A24)</f>
        <v>2468Z</v>
      </c>
      <c r="B24" t="str">
        <f>IF(Data_input!B24="","",Data_input!B24)</f>
        <v>250PM269QD</v>
      </c>
      <c r="C24" t="str">
        <f>IF(Data_input!C24="","",Data_input!C24)</f>
        <v xml:space="preserve">RAHUL KUMAR SINGH  </v>
      </c>
      <c r="D24" t="str">
        <f>IF(Data_input!L24="","",Data_input!L24)</f>
        <v>Master (Mgmt)</v>
      </c>
      <c r="E24" t="s">
        <v>102</v>
      </c>
      <c r="F24" t="s">
        <v>102</v>
      </c>
      <c r="G24" t="s">
        <v>102</v>
      </c>
      <c r="H24" t="s">
        <v>102</v>
      </c>
      <c r="I24" t="s">
        <v>102</v>
      </c>
      <c r="J24" t="s">
        <v>102</v>
      </c>
      <c r="K24" t="s">
        <v>102</v>
      </c>
      <c r="L24" t="s">
        <v>102</v>
      </c>
      <c r="U24">
        <f t="shared" si="0"/>
        <v>10</v>
      </c>
    </row>
    <row r="25" spans="1:21">
      <c r="A25" t="str">
        <f>IF(Data_input!A25="","",Data_input!A25)</f>
        <v>247JK</v>
      </c>
      <c r="B25" t="str">
        <f>IF(Data_input!B25="","",Data_input!B25)</f>
        <v>250PJ258RD</v>
      </c>
      <c r="C25" t="str">
        <f>IF(Data_input!C25="","",Data_input!C25)</f>
        <v xml:space="preserve">CHAN WEI HONG  </v>
      </c>
      <c r="D25" t="str">
        <f>IF(Data_input!L25="","",Data_input!L25)</f>
        <v>Master (Law)</v>
      </c>
      <c r="E25" t="s">
        <v>102</v>
      </c>
      <c r="F25" t="s">
        <v>102</v>
      </c>
      <c r="G25" t="s">
        <v>102</v>
      </c>
      <c r="H25" t="s">
        <v>102</v>
      </c>
      <c r="I25" t="s">
        <v>104</v>
      </c>
      <c r="J25" t="s">
        <v>102</v>
      </c>
      <c r="K25" t="s">
        <v>104</v>
      </c>
      <c r="L25" t="s">
        <v>102</v>
      </c>
      <c r="U25">
        <f t="shared" si="0"/>
        <v>8</v>
      </c>
    </row>
    <row r="26" spans="1:21">
      <c r="A26" t="str">
        <f>IF(Data_input!A26="","",Data_input!A26)</f>
        <v>245PL</v>
      </c>
      <c r="B26" t="str">
        <f>IF(Data_input!B26="","",Data_input!B26)</f>
        <v>250PL293T1</v>
      </c>
      <c r="C26" t="str">
        <f>IF(Data_input!C26="","",Data_input!C26)</f>
        <v xml:space="preserve">NURUL HUDA BINTI AZIZ  </v>
      </c>
      <c r="D26" t="str">
        <f>IF(Data_input!L26="","",Data_input!L26)</f>
        <v>Master (Law)</v>
      </c>
      <c r="E26" t="s">
        <v>102</v>
      </c>
      <c r="F26" t="s">
        <v>102</v>
      </c>
      <c r="G26" t="s">
        <v>102</v>
      </c>
      <c r="H26" t="s">
        <v>104</v>
      </c>
      <c r="I26" t="s">
        <v>102</v>
      </c>
      <c r="J26" t="s">
        <v>102</v>
      </c>
      <c r="K26" t="s">
        <v>104</v>
      </c>
      <c r="L26" t="s">
        <v>102</v>
      </c>
      <c r="U26">
        <f t="shared" si="0"/>
        <v>8</v>
      </c>
    </row>
    <row r="27" spans="1:21">
      <c r="A27" t="str">
        <f>IF(Data_input!A27="","",Data_input!A27)</f>
        <v>244XM</v>
      </c>
      <c r="B27" t="str">
        <f>IF(Data_input!B27="","",Data_input!B27)</f>
        <v>250PR241PD</v>
      </c>
      <c r="C27" t="str">
        <f>IF(Data_input!C27="","",Data_input!C27)</f>
        <v xml:space="preserve">MOHAMMAD ALI KHAN </v>
      </c>
      <c r="D27" t="str">
        <f>IF(Data_input!L27="","",Data_input!L27)</f>
        <v>Master (Law)</v>
      </c>
      <c r="E27" t="s">
        <v>102</v>
      </c>
      <c r="F27" t="s">
        <v>102</v>
      </c>
      <c r="G27" t="s">
        <v>102</v>
      </c>
      <c r="H27" t="s">
        <v>102</v>
      </c>
      <c r="I27" t="s">
        <v>102</v>
      </c>
      <c r="J27" t="s">
        <v>104</v>
      </c>
      <c r="K27" t="s">
        <v>102</v>
      </c>
      <c r="L27" t="s">
        <v>102</v>
      </c>
      <c r="U27">
        <f t="shared" si="0"/>
        <v>9</v>
      </c>
    </row>
    <row r="28" spans="1:21">
      <c r="A28" t="str">
        <f>IF(Data_input!A28="","",Data_input!A28)</f>
        <v>2495N</v>
      </c>
      <c r="B28" t="str">
        <f>IF(Data_input!B28="","",Data_input!B28)</f>
        <v>250PB237QK</v>
      </c>
      <c r="C28" t="str">
        <f>IF(Data_input!C28="","",Data_input!C28)</f>
        <v xml:space="preserve">TAN JIA WEI  </v>
      </c>
      <c r="D28" t="str">
        <f>IF(Data_input!L28="","",Data_input!L28)</f>
        <v>Master (Law)</v>
      </c>
      <c r="E28" t="s">
        <v>102</v>
      </c>
      <c r="F28" t="s">
        <v>104</v>
      </c>
      <c r="G28" t="s">
        <v>104</v>
      </c>
      <c r="H28" t="s">
        <v>104</v>
      </c>
      <c r="I28" t="s">
        <v>102</v>
      </c>
      <c r="J28" t="s">
        <v>102</v>
      </c>
      <c r="K28" t="s">
        <v>102</v>
      </c>
      <c r="L28" t="s">
        <v>102</v>
      </c>
      <c r="U28">
        <f t="shared" si="0"/>
        <v>0</v>
      </c>
    </row>
    <row r="29" spans="1:21">
      <c r="A29" t="str">
        <f>IF(Data_input!A29="","",Data_input!A29)</f>
        <v>246ZP</v>
      </c>
      <c r="B29" t="str">
        <f>IF(Data_input!B29="","",Data_input!B29)</f>
        <v>250PC276R2</v>
      </c>
      <c r="C29" t="str">
        <f>IF(Data_input!C29="","",Data_input!C29)</f>
        <v xml:space="preserve">FARHAN BIN ISMAIL  </v>
      </c>
      <c r="D29" t="str">
        <f>IF(Data_input!L29="","",Data_input!L29)</f>
        <v>Master (Law)</v>
      </c>
      <c r="E29" t="s">
        <v>104</v>
      </c>
      <c r="F29" t="s">
        <v>102</v>
      </c>
      <c r="G29" t="s">
        <v>104</v>
      </c>
      <c r="H29" t="s">
        <v>104</v>
      </c>
      <c r="I29" t="s">
        <v>102</v>
      </c>
      <c r="J29" t="s">
        <v>102</v>
      </c>
      <c r="K29" t="s">
        <v>102</v>
      </c>
      <c r="L29" t="s">
        <v>102</v>
      </c>
      <c r="U29">
        <f t="shared" si="0"/>
        <v>0</v>
      </c>
    </row>
    <row r="30" spans="1:21">
      <c r="A30" t="str">
        <f>IF(Data_input!A30="","",Data_input!A30)</f>
        <v>247QR</v>
      </c>
      <c r="B30" t="str">
        <f>IF(Data_input!B30="","",Data_input!B30)</f>
        <v>250PE261RJ</v>
      </c>
      <c r="C30" t="str">
        <f>IF(Data_input!C30="","",Data_input!C30)</f>
        <v>LIM PEI YEE</v>
      </c>
      <c r="D30" t="str">
        <f>IF(Data_input!L30="","",Data_input!L30)</f>
        <v>Master (Mgmt)</v>
      </c>
      <c r="E30" t="s">
        <v>104</v>
      </c>
      <c r="F30" t="s">
        <v>102</v>
      </c>
      <c r="G30" t="s">
        <v>104</v>
      </c>
      <c r="H30" t="s">
        <v>104</v>
      </c>
      <c r="I30" t="s">
        <v>102</v>
      </c>
      <c r="J30" t="s">
        <v>103</v>
      </c>
      <c r="K30" t="s">
        <v>102</v>
      </c>
      <c r="L30" t="s">
        <v>102</v>
      </c>
      <c r="U30">
        <f t="shared" si="0"/>
        <v>0</v>
      </c>
    </row>
    <row r="31" spans="1:21">
      <c r="A31" t="str">
        <f>IF(Data_input!A31="","",Data_input!A31)</f>
        <v>248R7</v>
      </c>
      <c r="B31" t="str">
        <f>IF(Data_input!B31="","",Data_input!B31)</f>
        <v>250PG248PD</v>
      </c>
      <c r="C31" t="str">
        <f>IF(Data_input!C31="","",Data_input!C31)</f>
        <v xml:space="preserve">RAJESH PRASAD  </v>
      </c>
      <c r="D31" t="str">
        <f>IF(Data_input!L31="","",Data_input!L31)</f>
        <v>Master (Mgmt)</v>
      </c>
      <c r="E31" t="s">
        <v>102</v>
      </c>
      <c r="F31" t="s">
        <v>102</v>
      </c>
      <c r="G31" t="s">
        <v>102</v>
      </c>
      <c r="H31" t="s">
        <v>102</v>
      </c>
      <c r="I31" t="s">
        <v>102</v>
      </c>
      <c r="J31" t="s">
        <v>102</v>
      </c>
      <c r="K31" t="s">
        <v>102</v>
      </c>
      <c r="L31" t="s">
        <v>102</v>
      </c>
      <c r="M31" t="s">
        <v>102</v>
      </c>
      <c r="N31" t="s">
        <v>102</v>
      </c>
      <c r="O31" t="s">
        <v>102</v>
      </c>
      <c r="U31">
        <f t="shared" si="0"/>
        <v>10</v>
      </c>
    </row>
    <row r="32" spans="1:21">
      <c r="A32" t="str">
        <f>IF(Data_input!A32="","",Data_input!A32)</f>
        <v>2458T</v>
      </c>
      <c r="B32" t="str">
        <f>IF(Data_input!B32="","",Data_input!B32)</f>
        <v>250PH234RM</v>
      </c>
      <c r="C32" t="str">
        <f>IF(Data_input!C32="","",Data_input!C32)</f>
        <v xml:space="preserve">GOH MUN KIT  </v>
      </c>
      <c r="D32" t="str">
        <f>IF(Data_input!L32="","",Data_input!L32)</f>
        <v>Master (Mgmt)</v>
      </c>
      <c r="E32" t="s">
        <v>102</v>
      </c>
      <c r="F32" t="s">
        <v>102</v>
      </c>
      <c r="G32" t="s">
        <v>102</v>
      </c>
      <c r="H32" t="s">
        <v>102</v>
      </c>
      <c r="I32" t="s">
        <v>102</v>
      </c>
      <c r="J32" t="s">
        <v>102</v>
      </c>
      <c r="K32" t="s">
        <v>102</v>
      </c>
      <c r="L32" t="s">
        <v>102</v>
      </c>
      <c r="M32" t="s">
        <v>102</v>
      </c>
      <c r="N32" t="s">
        <v>102</v>
      </c>
      <c r="O32" t="s">
        <v>102</v>
      </c>
      <c r="U32">
        <f t="shared" si="0"/>
        <v>10</v>
      </c>
    </row>
    <row r="33" spans="1:21">
      <c r="A33" t="str">
        <f>IF(Data_input!A33="","",Data_input!A33)</f>
        <v>2465K</v>
      </c>
      <c r="B33" t="str">
        <f>IF(Data_input!B33="","",Data_input!B33)</f>
        <v>250PJ285Q1</v>
      </c>
      <c r="C33" t="str">
        <f>IF(Data_input!C33="","",Data_input!C33)</f>
        <v xml:space="preserve">AISHA BINTI HASSAN  </v>
      </c>
      <c r="D33" t="str">
        <f>IF(Data_input!L33="","",Data_input!L33)</f>
        <v>Master (Mgmt)</v>
      </c>
      <c r="E33" t="s">
        <v>102</v>
      </c>
      <c r="F33" t="s">
        <v>102</v>
      </c>
      <c r="G33" t="s">
        <v>102</v>
      </c>
      <c r="H33" t="s">
        <v>102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  <c r="N33" t="s">
        <v>102</v>
      </c>
      <c r="O33" t="s">
        <v>102</v>
      </c>
      <c r="U33">
        <f t="shared" si="0"/>
        <v>10</v>
      </c>
    </row>
    <row r="34" spans="1:21">
      <c r="A34" t="str">
        <f>IF(Data_input!A34="","",Data_input!A34)</f>
        <v>247ZK</v>
      </c>
      <c r="B34" t="str">
        <f>IF(Data_input!B34="","",Data_input!B34)</f>
        <v>250PK292RD</v>
      </c>
      <c r="C34" t="str">
        <f>IF(Data_input!C34="","",Data_input!C34)</f>
        <v xml:space="preserve">ONG JUN HAO  </v>
      </c>
      <c r="D34" t="str">
        <f>IF(Data_input!L34="","",Data_input!L34)</f>
        <v>Master (Law)</v>
      </c>
      <c r="E34" t="s">
        <v>102</v>
      </c>
      <c r="F34" t="s">
        <v>102</v>
      </c>
      <c r="G34" t="s">
        <v>102</v>
      </c>
      <c r="H34" t="s">
        <v>102</v>
      </c>
      <c r="I34" t="s">
        <v>102</v>
      </c>
      <c r="J34" t="s">
        <v>102</v>
      </c>
      <c r="K34" t="s">
        <v>102</v>
      </c>
      <c r="L34" t="s">
        <v>102</v>
      </c>
      <c r="M34" t="s">
        <v>102</v>
      </c>
      <c r="N34" t="s">
        <v>102</v>
      </c>
      <c r="O34" t="s">
        <v>102</v>
      </c>
      <c r="U34">
        <f t="shared" si="0"/>
        <v>10</v>
      </c>
    </row>
    <row r="35" spans="1:21">
      <c r="A35" t="str">
        <f>IF(Data_input!A35="","",Data_input!A35)</f>
        <v>249PK</v>
      </c>
      <c r="B35" t="str">
        <f>IF(Data_input!B35="","",Data_input!B35)</f>
        <v>250PL239R2</v>
      </c>
      <c r="C35" t="str">
        <f>IF(Data_input!C35="","",Data_input!C35)</f>
        <v xml:space="preserve">PRIYA DEVI NAIR  </v>
      </c>
      <c r="D35" t="str">
        <f>IF(Data_input!L35="","",Data_input!L35)</f>
        <v>Master (Law)</v>
      </c>
      <c r="E35" t="s">
        <v>102</v>
      </c>
      <c r="F35" t="s">
        <v>102</v>
      </c>
      <c r="G35" t="s">
        <v>102</v>
      </c>
      <c r="H35" t="s">
        <v>102</v>
      </c>
      <c r="I35" t="s">
        <v>102</v>
      </c>
      <c r="J35" t="s">
        <v>102</v>
      </c>
      <c r="K35" t="s">
        <v>102</v>
      </c>
      <c r="L35" t="s">
        <v>102</v>
      </c>
      <c r="M35" t="s">
        <v>102</v>
      </c>
      <c r="N35" t="s">
        <v>102</v>
      </c>
      <c r="O35" t="s">
        <v>104</v>
      </c>
      <c r="U35">
        <f t="shared" si="0"/>
        <v>9</v>
      </c>
    </row>
    <row r="36" spans="1:21">
      <c r="A36" t="str">
        <f>IF(Data_input!A36="","",Data_input!A36)</f>
        <v>243YK</v>
      </c>
      <c r="B36" t="str">
        <f>IF(Data_input!B36="","",Data_input!B36)</f>
        <v>250PN278QD</v>
      </c>
      <c r="C36" t="str">
        <f>IF(Data_input!C36="","",Data_input!C36)</f>
        <v xml:space="preserve">CHONG KAI LUN </v>
      </c>
      <c r="D36" t="str">
        <f>IF(Data_input!L36="","",Data_input!L36)</f>
        <v>Master (Law)</v>
      </c>
      <c r="E36" t="s">
        <v>102</v>
      </c>
      <c r="F36" t="s">
        <v>102</v>
      </c>
      <c r="G36" t="s">
        <v>102</v>
      </c>
      <c r="H36" t="s">
        <v>102</v>
      </c>
      <c r="I36" t="s">
        <v>102</v>
      </c>
      <c r="J36" t="s">
        <v>102</v>
      </c>
      <c r="K36" t="s">
        <v>102</v>
      </c>
      <c r="L36" t="s">
        <v>102</v>
      </c>
      <c r="M36" t="s">
        <v>102</v>
      </c>
      <c r="N36" t="s">
        <v>104</v>
      </c>
      <c r="O36" t="s">
        <v>104</v>
      </c>
      <c r="U36">
        <f t="shared" si="0"/>
        <v>8</v>
      </c>
    </row>
    <row r="37" spans="1:21">
      <c r="A37" t="str">
        <f>IF(Data_input!A37="","",Data_input!A37)</f>
        <v>245MK</v>
      </c>
      <c r="B37" t="str">
        <f>IF(Data_input!B37="","",Data_input!B37)</f>
        <v>250PR284PK</v>
      </c>
      <c r="C37" t="str">
        <f>IF(Data_input!C37="","",Data_input!C37)</f>
        <v xml:space="preserve">ABDUL RAHMAN BIN OTHMAN  </v>
      </c>
      <c r="D37" t="str">
        <f>IF(Data_input!L37="","",Data_input!L37)</f>
        <v>Master (Law)</v>
      </c>
      <c r="E37" t="s">
        <v>102</v>
      </c>
      <c r="F37" t="s">
        <v>102</v>
      </c>
      <c r="G37" t="s">
        <v>102</v>
      </c>
      <c r="H37" t="s">
        <v>102</v>
      </c>
      <c r="I37" t="s">
        <v>102</v>
      </c>
      <c r="J37" t="s">
        <v>102</v>
      </c>
      <c r="K37" t="s">
        <v>102</v>
      </c>
      <c r="L37" t="s">
        <v>102</v>
      </c>
      <c r="M37" t="s">
        <v>102</v>
      </c>
      <c r="N37" t="s">
        <v>104</v>
      </c>
      <c r="O37" t="s">
        <v>102</v>
      </c>
      <c r="U37">
        <f t="shared" si="0"/>
        <v>9</v>
      </c>
    </row>
    <row r="38" spans="1:21">
      <c r="A38" t="str">
        <f>IF(Data_input!A38="","",Data_input!A38)</f>
        <v>248RM</v>
      </c>
      <c r="B38" t="str">
        <f>IF(Data_input!B38="","",Data_input!B38)</f>
        <v>250PS295RM</v>
      </c>
      <c r="C38" t="str">
        <f>IF(Data_input!C38="","",Data_input!C38)</f>
        <v>YAP SIEW LING</v>
      </c>
      <c r="D38" t="str">
        <f>IF(Data_input!L38="","",Data_input!L38)</f>
        <v>Master (Communication)</v>
      </c>
      <c r="E38" t="s">
        <v>103</v>
      </c>
      <c r="F38" t="s">
        <v>102</v>
      </c>
      <c r="G38" t="s">
        <v>102</v>
      </c>
      <c r="H38" t="s">
        <v>104</v>
      </c>
      <c r="I38" t="s">
        <v>104</v>
      </c>
      <c r="J38" t="s">
        <v>102</v>
      </c>
      <c r="K38" t="s">
        <v>104</v>
      </c>
      <c r="L38" t="s">
        <v>102</v>
      </c>
      <c r="M38" t="s">
        <v>102</v>
      </c>
      <c r="N38" t="s">
        <v>102</v>
      </c>
      <c r="O38" t="s">
        <v>102</v>
      </c>
      <c r="U38">
        <f t="shared" si="0"/>
        <v>0</v>
      </c>
    </row>
    <row r="39" spans="1:21">
      <c r="A39" t="str">
        <f>IF(Data_input!A39="","",Data_input!A39)</f>
        <v>249RK</v>
      </c>
      <c r="B39" t="str">
        <f>IF(Data_input!B39="","",Data_input!B39)</f>
        <v>250PT244R3</v>
      </c>
      <c r="C39" t="str">
        <f>IF(Data_input!C39="","",Data_input!C39)</f>
        <v xml:space="preserve">MIRA SHARMINA BINTI HAMZAH  </v>
      </c>
      <c r="D39" t="str">
        <f>IF(Data_input!L39="","",Data_input!L39)</f>
        <v>Master (Communication)</v>
      </c>
      <c r="E39" t="s">
        <v>102</v>
      </c>
      <c r="F39" t="s">
        <v>102</v>
      </c>
      <c r="G39" t="s">
        <v>102</v>
      </c>
      <c r="H39" t="s">
        <v>102</v>
      </c>
      <c r="I39" t="s">
        <v>102</v>
      </c>
      <c r="J39" t="s">
        <v>104</v>
      </c>
      <c r="K39" t="s">
        <v>104</v>
      </c>
      <c r="L39" t="s">
        <v>104</v>
      </c>
      <c r="M39" t="s">
        <v>102</v>
      </c>
      <c r="N39" t="s">
        <v>102</v>
      </c>
      <c r="O39" t="s">
        <v>102</v>
      </c>
      <c r="U39">
        <f t="shared" si="0"/>
        <v>0</v>
      </c>
    </row>
    <row r="40" spans="1:21">
      <c r="A40" t="str">
        <f>IF(Data_input!A40="","",Data_input!A40)</f>
        <v>247LH</v>
      </c>
      <c r="B40" t="str">
        <f>IF(Data_input!B40="","",Data_input!B40)</f>
        <v>250PS297RL</v>
      </c>
      <c r="C40" t="str">
        <f>IF(Data_input!C40="","",Data_input!C40)</f>
        <v>KOH CHEE MING</v>
      </c>
      <c r="D40" t="str">
        <f>IF(Data_input!L40="","",Data_input!L40)</f>
        <v>Master (Communication)</v>
      </c>
      <c r="E40" t="s">
        <v>102</v>
      </c>
      <c r="F40" t="s">
        <v>102</v>
      </c>
      <c r="G40" t="s">
        <v>102</v>
      </c>
      <c r="H40" t="s">
        <v>102</v>
      </c>
      <c r="I40" t="s">
        <v>102</v>
      </c>
      <c r="J40" t="s">
        <v>102</v>
      </c>
      <c r="K40" t="s">
        <v>104</v>
      </c>
      <c r="L40" t="s">
        <v>104</v>
      </c>
      <c r="M40" t="s">
        <v>104</v>
      </c>
      <c r="N40" t="s">
        <v>102</v>
      </c>
      <c r="O40" t="s">
        <v>102</v>
      </c>
      <c r="U40">
        <f t="shared" si="0"/>
        <v>0</v>
      </c>
    </row>
    <row r="41" spans="1:21">
      <c r="A41" t="str">
        <f>IF(Data_input!A41="","",Data_input!A41)</f>
        <v>247LH</v>
      </c>
      <c r="B41" t="str">
        <f>IF(Data_input!B41="","",Data_input!B41)</f>
        <v>250PS297RL</v>
      </c>
      <c r="C41" t="str">
        <f>IF(Data_input!C41="","",Data_input!C41)</f>
        <v>ANG ANSON</v>
      </c>
      <c r="D41" t="str">
        <f>IF(Data_input!L41="","",Data_input!L41)</f>
        <v>Master (Communication)</v>
      </c>
      <c r="U41">
        <f>IF(A41="","",
IF(COUNTIF(E41:T41,"US")&gt;=3,0,
10-COUNTIF(E41:T41,"US")))</f>
        <v>10</v>
      </c>
    </row>
    <row r="42" spans="1:21">
      <c r="A42" t="str">
        <f>IF(Data_input!A42="","",Data_input!A42)</f>
        <v/>
      </c>
      <c r="B42" t="str">
        <f>IF(Data_input!B42="","",Data_input!B42)</f>
        <v/>
      </c>
      <c r="C42" t="str">
        <f>IF(Data_input!C42="","",Data_input!C42)</f>
        <v/>
      </c>
      <c r="D42" t="str">
        <f>IF(Data_input!L42="","",Data_input!L42)</f>
        <v/>
      </c>
      <c r="U42" t="str">
        <f t="shared" si="0"/>
        <v/>
      </c>
    </row>
    <row r="43" spans="1:21">
      <c r="A43" t="str">
        <f>IF(Data_input!A43="","",Data_input!A43)</f>
        <v/>
      </c>
      <c r="B43" t="str">
        <f>IF(Data_input!B43="","",Data_input!B43)</f>
        <v/>
      </c>
      <c r="C43" t="str">
        <f>IF(Data_input!C43="","",Data_input!C43)</f>
        <v/>
      </c>
      <c r="D43" t="str">
        <f>IF(Data_input!L43="","",Data_input!L43)</f>
        <v/>
      </c>
      <c r="U43" t="str">
        <f t="shared" si="0"/>
        <v/>
      </c>
    </row>
    <row r="44" spans="1:21">
      <c r="A44" t="str">
        <f>IF(Data_input!A44="","",Data_input!A44)</f>
        <v/>
      </c>
      <c r="B44" t="str">
        <f>IF(Data_input!B44="","",Data_input!B44)</f>
        <v/>
      </c>
      <c r="C44" t="str">
        <f>IF(Data_input!C44="","",Data_input!C44)</f>
        <v/>
      </c>
      <c r="D44" t="str">
        <f>IF(Data_input!L44="","",Data_input!L44)</f>
        <v/>
      </c>
      <c r="U44" t="str">
        <f t="shared" si="0"/>
        <v/>
      </c>
    </row>
    <row r="45" spans="1:21">
      <c r="A45" t="str">
        <f>IF(Data_input!A45="","",Data_input!A45)</f>
        <v/>
      </c>
      <c r="B45" t="str">
        <f>IF(Data_input!B45="","",Data_input!B45)</f>
        <v/>
      </c>
      <c r="C45" t="str">
        <f>IF(Data_input!C45="","",Data_input!C45)</f>
        <v/>
      </c>
      <c r="D45" t="str">
        <f>IF(Data_input!L45="","",Data_input!L45)</f>
        <v/>
      </c>
      <c r="U45" t="str">
        <f t="shared" si="0"/>
        <v/>
      </c>
    </row>
    <row r="46" spans="1:21">
      <c r="A46" t="str">
        <f>IF(Data_input!A46="","",Data_input!A46)</f>
        <v/>
      </c>
      <c r="B46" t="str">
        <f>IF(Data_input!B46="","",Data_input!B46)</f>
        <v/>
      </c>
      <c r="C46" t="str">
        <f>IF(Data_input!C46="","",Data_input!C46)</f>
        <v/>
      </c>
      <c r="D46" t="str">
        <f>IF(Data_input!L46="","",Data_input!L46)</f>
        <v/>
      </c>
      <c r="U46" t="str">
        <f t="shared" si="0"/>
        <v/>
      </c>
    </row>
    <row r="47" spans="1:21">
      <c r="A47" t="str">
        <f>IF(Data_input!A47="","",Data_input!A47)</f>
        <v/>
      </c>
      <c r="B47" t="str">
        <f>IF(Data_input!B47="","",Data_input!B47)</f>
        <v/>
      </c>
      <c r="C47" t="str">
        <f>IF(Data_input!C47="","",Data_input!C47)</f>
        <v/>
      </c>
      <c r="D47" t="str">
        <f>IF(Data_input!L47="","",Data_input!L47)</f>
        <v/>
      </c>
      <c r="U47" t="str">
        <f t="shared" si="0"/>
        <v/>
      </c>
    </row>
    <row r="48" spans="1:21">
      <c r="A48" t="str">
        <f>IF(Data_input!A48="","",Data_input!A48)</f>
        <v/>
      </c>
      <c r="B48" t="str">
        <f>IF(Data_input!B48="","",Data_input!B48)</f>
        <v/>
      </c>
      <c r="C48" t="str">
        <f>IF(Data_input!C48="","",Data_input!C48)</f>
        <v/>
      </c>
      <c r="D48" t="str">
        <f>IF(Data_input!L48="","",Data_input!L48)</f>
        <v/>
      </c>
      <c r="U48" t="str">
        <f t="shared" si="0"/>
        <v/>
      </c>
    </row>
    <row r="49" spans="1:21">
      <c r="A49" t="str">
        <f>IF(Data_input!A49="","",Data_input!A49)</f>
        <v/>
      </c>
      <c r="B49" t="str">
        <f>IF(Data_input!B49="","",Data_input!B49)</f>
        <v/>
      </c>
      <c r="C49" t="str">
        <f>IF(Data_input!C49="","",Data_input!C49)</f>
        <v/>
      </c>
      <c r="D49" t="str">
        <f>IF(Data_input!L49="","",Data_input!L49)</f>
        <v/>
      </c>
      <c r="U49" t="str">
        <f t="shared" si="0"/>
        <v/>
      </c>
    </row>
    <row r="50" spans="1:21">
      <c r="A50" t="str">
        <f>IF(Data_input!A50="","",Data_input!A50)</f>
        <v/>
      </c>
      <c r="B50" t="str">
        <f>IF(Data_input!B50="","",Data_input!B50)</f>
        <v/>
      </c>
      <c r="C50" t="str">
        <f>IF(Data_input!C50="","",Data_input!C50)</f>
        <v/>
      </c>
      <c r="D50" t="str">
        <f>IF(Data_input!L50="","",Data_input!L50)</f>
        <v/>
      </c>
      <c r="U50" t="str">
        <f t="shared" si="0"/>
        <v/>
      </c>
    </row>
    <row r="51" spans="1:21">
      <c r="A51" t="str">
        <f>IF(Data_input!A51="","",Data_input!A51)</f>
        <v/>
      </c>
      <c r="B51" t="str">
        <f>IF(Data_input!B51="","",Data_input!B51)</f>
        <v/>
      </c>
      <c r="C51" t="str">
        <f>IF(Data_input!C51="","",Data_input!C51)</f>
        <v/>
      </c>
      <c r="D51" t="str">
        <f>IF(Data_input!L51="","",Data_input!L51)</f>
        <v/>
      </c>
      <c r="U51" t="str">
        <f t="shared" si="0"/>
        <v/>
      </c>
    </row>
    <row r="52" spans="1:21">
      <c r="A52" t="str">
        <f>IF(Data_input!A52="","",Data_input!A52)</f>
        <v/>
      </c>
      <c r="B52" t="str">
        <f>IF(Data_input!B52="","",Data_input!B52)</f>
        <v/>
      </c>
      <c r="C52" t="str">
        <f>IF(Data_input!C52="","",Data_input!C52)</f>
        <v/>
      </c>
      <c r="D52" t="str">
        <f>IF(Data_input!L52="","",Data_input!L52)</f>
        <v/>
      </c>
      <c r="U52" t="str">
        <f t="shared" si="0"/>
        <v/>
      </c>
    </row>
    <row r="53" spans="1:21">
      <c r="A53" t="str">
        <f>IF(Data_input!A53="","",Data_input!A53)</f>
        <v/>
      </c>
      <c r="B53" t="str">
        <f>IF(Data_input!B53="","",Data_input!B53)</f>
        <v/>
      </c>
      <c r="C53" t="str">
        <f>IF(Data_input!C53="","",Data_input!C53)</f>
        <v/>
      </c>
      <c r="D53" t="str">
        <f>IF(Data_input!L53="","",Data_input!L53)</f>
        <v/>
      </c>
      <c r="U53" t="str">
        <f t="shared" si="0"/>
        <v/>
      </c>
    </row>
    <row r="54" spans="1:21">
      <c r="A54" t="str">
        <f>IF(Data_input!A54="","",Data_input!A54)</f>
        <v/>
      </c>
      <c r="B54" t="str">
        <f>IF(Data_input!B54="","",Data_input!B54)</f>
        <v/>
      </c>
      <c r="C54" t="str">
        <f>IF(Data_input!C54="","",Data_input!C54)</f>
        <v/>
      </c>
      <c r="D54" t="str">
        <f>IF(Data_input!L54="","",Data_input!L54)</f>
        <v/>
      </c>
      <c r="U54" t="str">
        <f t="shared" si="0"/>
        <v/>
      </c>
    </row>
    <row r="55" spans="1:21">
      <c r="A55" t="str">
        <f>IF(Data_input!A55="","",Data_input!A55)</f>
        <v/>
      </c>
      <c r="B55" t="str">
        <f>IF(Data_input!B55="","",Data_input!B55)</f>
        <v/>
      </c>
      <c r="C55" t="str">
        <f>IF(Data_input!C55="","",Data_input!C55)</f>
        <v/>
      </c>
      <c r="D55" t="str">
        <f>IF(Data_input!L55="","",Data_input!L55)</f>
        <v/>
      </c>
      <c r="U55" t="str">
        <f t="shared" si="0"/>
        <v/>
      </c>
    </row>
    <row r="56" spans="1:21">
      <c r="A56" t="str">
        <f>IF(Data_input!A56="","",Data_input!A56)</f>
        <v/>
      </c>
      <c r="B56" t="str">
        <f>IF(Data_input!B56="","",Data_input!B56)</f>
        <v/>
      </c>
      <c r="C56" t="str">
        <f>IF(Data_input!C56="","",Data_input!C56)</f>
        <v/>
      </c>
      <c r="D56" t="str">
        <f>IF(Data_input!L56="","",Data_input!L56)</f>
        <v/>
      </c>
      <c r="U56" t="str">
        <f t="shared" si="0"/>
        <v/>
      </c>
    </row>
    <row r="57" spans="1:21">
      <c r="A57" t="str">
        <f>IF(Data_input!A57="","",Data_input!A57)</f>
        <v/>
      </c>
      <c r="B57" t="str">
        <f>IF(Data_input!B57="","",Data_input!B57)</f>
        <v/>
      </c>
      <c r="C57" t="str">
        <f>IF(Data_input!C57="","",Data_input!C57)</f>
        <v/>
      </c>
      <c r="D57" t="str">
        <f>IF(Data_input!L57="","",Data_input!L57)</f>
        <v/>
      </c>
      <c r="U57" t="str">
        <f t="shared" si="0"/>
        <v/>
      </c>
    </row>
    <row r="58" spans="1:21">
      <c r="A58" t="str">
        <f>IF(Data_input!A58="","",Data_input!A58)</f>
        <v/>
      </c>
      <c r="B58" t="str">
        <f>IF(Data_input!B58="","",Data_input!B58)</f>
        <v/>
      </c>
      <c r="C58" t="str">
        <f>IF(Data_input!C58="","",Data_input!C58)</f>
        <v/>
      </c>
      <c r="D58" t="str">
        <f>IF(Data_input!L58="","",Data_input!L58)</f>
        <v/>
      </c>
      <c r="U58" t="str">
        <f t="shared" si="0"/>
        <v/>
      </c>
    </row>
    <row r="59" spans="1:21">
      <c r="A59" t="str">
        <f>IF(Data_input!A59="","",Data_input!A59)</f>
        <v/>
      </c>
      <c r="B59" t="str">
        <f>IF(Data_input!B59="","",Data_input!B59)</f>
        <v/>
      </c>
      <c r="C59" t="str">
        <f>IF(Data_input!C59="","",Data_input!C59)</f>
        <v/>
      </c>
      <c r="D59" t="str">
        <f>IF(Data_input!L59="","",Data_input!L59)</f>
        <v/>
      </c>
      <c r="U59" t="str">
        <f t="shared" si="0"/>
        <v/>
      </c>
    </row>
    <row r="60" spans="1:21">
      <c r="A60" t="str">
        <f>IF(Data_input!A60="","",Data_input!A60)</f>
        <v/>
      </c>
      <c r="B60" t="str">
        <f>IF(Data_input!B60="","",Data_input!B60)</f>
        <v/>
      </c>
      <c r="C60" t="str">
        <f>IF(Data_input!C60="","",Data_input!C60)</f>
        <v/>
      </c>
      <c r="D60" t="str">
        <f>IF(Data_input!L60="","",Data_input!L60)</f>
        <v/>
      </c>
      <c r="U60" t="str">
        <f t="shared" si="0"/>
        <v/>
      </c>
    </row>
    <row r="61" spans="1:21">
      <c r="A61" t="str">
        <f>IF(Data_input!A61="","",Data_input!A61)</f>
        <v/>
      </c>
    </row>
    <row r="62" spans="1:21">
      <c r="A62" t="str">
        <f>IF(Data_input!A62="","",Data_input!A62)</f>
        <v/>
      </c>
    </row>
    <row r="63" spans="1:21">
      <c r="A63" t="str">
        <f>IF(Data_input!A63="","",Data_input!A63)</f>
        <v/>
      </c>
    </row>
    <row r="64" spans="1:21">
      <c r="A64" t="str">
        <f>IF(Data_input!A64="","",Data_input!A64)</f>
        <v/>
      </c>
    </row>
    <row r="65" spans="1:1">
      <c r="A65" t="str">
        <f>IF(Data_input!A65="","",Data_input!A65)</f>
        <v/>
      </c>
    </row>
    <row r="66" spans="1:1">
      <c r="A66" t="str">
        <f>IF(Data_input!A66="","",Data_input!A66)</f>
        <v/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BA41-4F78-46F5-ABE7-8343EB1DD3AC}">
  <dimension ref="A1:G66"/>
  <sheetViews>
    <sheetView workbookViewId="0">
      <selection activeCell="D7" sqref="D7"/>
    </sheetView>
  </sheetViews>
  <sheetFormatPr defaultRowHeight="13.8"/>
  <cols>
    <col min="1" max="1" width="12.21875" customWidth="1"/>
    <col min="2" max="2" width="14" customWidth="1"/>
    <col min="3" max="3" width="33.5546875" customWidth="1"/>
    <col min="4" max="5" width="30.77734375" customWidth="1"/>
    <col min="6" max="6" width="45.88671875" customWidth="1"/>
    <col min="7" max="7" width="38.33203125" customWidth="1"/>
    <col min="8" max="8" width="17.88671875" customWidth="1"/>
  </cols>
  <sheetData>
    <row r="1" spans="1:7">
      <c r="A1" t="s">
        <v>0</v>
      </c>
      <c r="B1" t="s">
        <v>1</v>
      </c>
      <c r="C1" t="s">
        <v>2</v>
      </c>
      <c r="D1" t="s">
        <v>90</v>
      </c>
      <c r="E1" t="s">
        <v>106</v>
      </c>
      <c r="F1" t="s">
        <v>178</v>
      </c>
      <c r="G1" t="s">
        <v>177</v>
      </c>
    </row>
    <row r="2" spans="1:7">
      <c r="A2" t="str">
        <f>IF(Data_input!A2="","",Data_input!A2)</f>
        <v>247R1</v>
      </c>
      <c r="B2" t="str">
        <f>IF(Data_input!B2="","",Data_input!B2)</f>
        <v>250PA247R8</v>
      </c>
      <c r="C2" t="str">
        <f>IF(Data_input!C2="","",Data_input!C2)</f>
        <v>USMAN YAU</v>
      </c>
      <c r="D2">
        <f>IF(OR(data_coll!R2="", data_coll!G2=""), "", _xlfn.DAYS(data_coll!R2, data_coll!G2))</f>
        <v>163</v>
      </c>
      <c r="E2">
        <f>IF(OR(data_coll!T2="",data_coll!U2=""),"",data_coll!U2-data_coll!T2)</f>
        <v>245</v>
      </c>
      <c r="F2">
        <f>IF(OR(data_coll!W2="", data_coll!G2=""), "", _xlfn.DAYS(data_coll!W2, data_coll!G2))</f>
        <v>4</v>
      </c>
      <c r="G2">
        <f>IF(OR(data_coll!X2="", data_coll!G2=""), "", _xlfn.DAYS(data_coll!X2, data_coll!G2))</f>
        <v>567</v>
      </c>
    </row>
    <row r="3" spans="1:7">
      <c r="A3" t="str">
        <f>IF(Data_input!A3="","",Data_input!A3)</f>
        <v>247R4</v>
      </c>
      <c r="B3" t="str">
        <f>IF(Data_input!B3="","",Data_input!B3)</f>
        <v>250PA247R1</v>
      </c>
      <c r="C3" t="str">
        <f>IF(Data_input!C3="","",Data_input!C3)</f>
        <v>KHAN IRFAN</v>
      </c>
      <c r="D3">
        <f>IF(OR(data_coll!R3="", data_coll!G3=""), "", _xlfn.DAYS(data_coll!R3, data_coll!G3))</f>
        <v>163</v>
      </c>
      <c r="E3">
        <f>IF(OR(data_coll!T3="",data_coll!U3=""),"",data_coll!U3-data_coll!T3)</f>
        <v>256</v>
      </c>
      <c r="F3">
        <f>IF(OR(data_coll!W3="", data_coll!G3=""), "", _xlfn.DAYS(data_coll!W3, data_coll!G3))</f>
        <v>528</v>
      </c>
      <c r="G3">
        <f>IF(OR(data_coll!X3="", data_coll!G3=""), "", _xlfn.DAYS(data_coll!X3, data_coll!G3))</f>
        <v>537</v>
      </c>
    </row>
    <row r="4" spans="1:7">
      <c r="A4" t="str">
        <f>IF(Data_input!A4="","",Data_input!A4)</f>
        <v>247R8</v>
      </c>
      <c r="B4" t="str">
        <f>IF(Data_input!B4="","",Data_input!B4)</f>
        <v>250PA247R2</v>
      </c>
      <c r="C4" t="str">
        <f>IF(Data_input!C4="","",Data_input!C4)</f>
        <v>JAYAKANTHAN A/L M. LACHMANAN</v>
      </c>
      <c r="D4">
        <f>IF(OR(data_coll!R4="", data_coll!G4=""), "", _xlfn.DAYS(data_coll!R4, data_coll!G4))</f>
        <v>177</v>
      </c>
      <c r="E4">
        <f>IF(OR(data_coll!T4="",data_coll!U4=""),"",data_coll!U4-data_coll!T4)</f>
        <v>222</v>
      </c>
      <c r="F4">
        <f>IF(OR(data_coll!W4="", data_coll!G4=""), "", _xlfn.DAYS(data_coll!W4, data_coll!G4))</f>
        <v>510</v>
      </c>
      <c r="G4">
        <f>IF(OR(data_coll!X4="", data_coll!G4=""), "", _xlfn.DAYS(data_coll!X4, data_coll!G4))</f>
        <v>519</v>
      </c>
    </row>
    <row r="5" spans="1:7">
      <c r="A5" t="str">
        <f>IF(Data_input!A5="","",Data_input!A5)</f>
        <v>247R3</v>
      </c>
      <c r="B5" t="str">
        <f>IF(Data_input!B5="","",Data_input!B5)</f>
        <v>250PA247R5</v>
      </c>
      <c r="C5" t="str">
        <f>IF(Data_input!C5="","",Data_input!C5)</f>
        <v>IDRIS OLALEKAN ADEOYE</v>
      </c>
      <c r="D5">
        <f>IF(OR(data_coll!R5="", data_coll!G5=""), "", _xlfn.DAYS(data_coll!R5, data_coll!G5))</f>
        <v>213</v>
      </c>
      <c r="E5">
        <f>IF(OR(data_coll!T5="",data_coll!U5=""),"",data_coll!U5-data_coll!T5)</f>
        <v>144</v>
      </c>
      <c r="F5">
        <f>IF(OR(data_coll!W5="", data_coll!G5=""), "", _xlfn.DAYS(data_coll!W5, data_coll!G5))</f>
        <v>577</v>
      </c>
      <c r="G5">
        <f>IF(OR(data_coll!X5="", data_coll!G5=""), "", _xlfn.DAYS(data_coll!X5, data_coll!G5))</f>
        <v>586</v>
      </c>
    </row>
    <row r="6" spans="1:7">
      <c r="A6" t="str">
        <f>IF(Data_input!A6="","",Data_input!A6)</f>
        <v>247R7</v>
      </c>
      <c r="B6" t="str">
        <f>IF(Data_input!B6="","",Data_input!B6)</f>
        <v>250PA247R7</v>
      </c>
      <c r="C6" t="str">
        <f>IF(Data_input!C6="","",Data_input!C6)</f>
        <v>NUHU DAN-AZUMI MUHAMMAD</v>
      </c>
      <c r="D6">
        <f>IF(OR(data_coll!R6="", data_coll!G6=""), "", _xlfn.DAYS(data_coll!R6, data_coll!G6))</f>
        <v>213</v>
      </c>
      <c r="E6">
        <f>IF(OR(data_coll!T6="",data_coll!U6=""),"",data_coll!U6-data_coll!T6)</f>
        <v>138</v>
      </c>
      <c r="F6">
        <f>IF(OR(data_coll!W6="", data_coll!G6=""), "", _xlfn.DAYS(data_coll!W6, data_coll!G6))</f>
        <v>578</v>
      </c>
      <c r="G6">
        <f>IF(OR(data_coll!X6="", data_coll!G6=""), "", _xlfn.DAYS(data_coll!X6, data_coll!G6))</f>
        <v>587</v>
      </c>
    </row>
    <row r="7" spans="1:7">
      <c r="A7" t="str">
        <f>IF(Data_input!A7="","",Data_input!A7)</f>
        <v>2508F</v>
      </c>
      <c r="B7" t="str">
        <f>IF(Data_input!B7="","",Data_input!B7)</f>
        <v>250PA257R3</v>
      </c>
      <c r="C7" t="str">
        <f>IF(Data_input!C7="","",Data_input!C7)</f>
        <v>NAZ ANUM</v>
      </c>
      <c r="D7">
        <f>IF(OR(data_coll!R7="", data_coll!G7=""), "", _xlfn.DAYS(data_coll!R7, data_coll!G7))</f>
        <v>215</v>
      </c>
      <c r="E7">
        <f>IF(OR(data_coll!T7="",data_coll!U7=""),"",data_coll!U7-data_coll!T7)</f>
        <v>142</v>
      </c>
      <c r="F7">
        <f>IF(OR(data_coll!W7="", data_coll!G7=""), "", _xlfn.DAYS(data_coll!W7, data_coll!G7))</f>
        <v>580</v>
      </c>
      <c r="G7">
        <f>IF(OR(data_coll!X7="", data_coll!G7=""), "", _xlfn.DAYS(data_coll!X7, data_coll!G7))</f>
        <v>589</v>
      </c>
    </row>
    <row r="8" spans="1:7">
      <c r="A8" t="str">
        <f>IF(Data_input!A8="","",Data_input!A8)</f>
        <v>243YN</v>
      </c>
      <c r="B8" t="str">
        <f>IF(Data_input!B8="","",Data_input!B8)</f>
        <v>250PA237R1</v>
      </c>
      <c r="C8" t="str">
        <f>IF(Data_input!C8="","",Data_input!C8)</f>
        <v>NUR SYAZA BINTI ZAKARIA</v>
      </c>
      <c r="D8">
        <f>IF(OR(data_coll!R8="", data_coll!G8=""), "", _xlfn.DAYS(data_coll!R8, data_coll!G8))</f>
        <v>547</v>
      </c>
      <c r="E8">
        <f>IF(OR(data_coll!T8="",data_coll!U8=""),"",data_coll!U8-data_coll!T8)</f>
        <v>-12</v>
      </c>
      <c r="F8">
        <f>IF(OR(data_coll!W8="", data_coll!G8=""), "", _xlfn.DAYS(data_coll!W8, data_coll!G8))</f>
        <v>912</v>
      </c>
      <c r="G8">
        <f>IF(OR(data_coll!X8="", data_coll!G8=""), "", _xlfn.DAYS(data_coll!X8, data_coll!G8))</f>
        <v>912</v>
      </c>
    </row>
    <row r="9" spans="1:7">
      <c r="A9" t="str">
        <f>IF(Data_input!A9="","",Data_input!A9)</f>
        <v>251D4</v>
      </c>
      <c r="B9" t="str">
        <f>IF(Data_input!B9="","",Data_input!B9)</f>
        <v>250PK242QD</v>
      </c>
      <c r="C9" t="str">
        <f>IF(Data_input!C9="","",Data_input!C9)</f>
        <v>YANG XIAO</v>
      </c>
      <c r="D9">
        <f>IF(OR(data_coll!R9="", data_coll!G9=""), "", _xlfn.DAYS(data_coll!R9, data_coll!G9))</f>
        <v>383</v>
      </c>
      <c r="E9">
        <f>IF(OR(data_coll!T9="",data_coll!U9=""),"",data_coll!U9-data_coll!T9)</f>
        <v>-13</v>
      </c>
      <c r="F9">
        <f>IF(OR(data_coll!W9="", data_coll!G9=""), "", _xlfn.DAYS(data_coll!W9, data_coll!G9))</f>
        <v>870</v>
      </c>
      <c r="G9">
        <f>IF(OR(data_coll!X9="", data_coll!G9=""), "", _xlfn.DAYS(data_coll!X9, data_coll!G9))</f>
        <v>872</v>
      </c>
    </row>
    <row r="10" spans="1:7">
      <c r="A10" t="str">
        <f>IF(Data_input!A10="","",Data_input!A10)</f>
        <v>2458H</v>
      </c>
      <c r="B10" t="str">
        <f>IF(Data_input!B10="","",Data_input!B10)</f>
        <v>250PK232QD</v>
      </c>
      <c r="C10" t="str">
        <f>IF(Data_input!C10="","",Data_input!C10)</f>
        <v>MD MUSLIM UDDIN AHMED PIPUL</v>
      </c>
      <c r="D10">
        <f>IF(OR(data_coll!R10="", data_coll!G10=""), "", _xlfn.DAYS(data_coll!R10, data_coll!G10))</f>
        <v>520</v>
      </c>
      <c r="E10">
        <f>IF(OR(data_coll!T10="",data_coll!U10=""),"",data_coll!U10-data_coll!T10)</f>
        <v>-14</v>
      </c>
      <c r="F10">
        <f>IF(OR(data_coll!W10="", data_coll!G10=""), "", _xlfn.DAYS(data_coll!W10, data_coll!G10))</f>
        <v>885</v>
      </c>
      <c r="G10">
        <f>IF(OR(data_coll!X10="", data_coll!G10=""), "", _xlfn.DAYS(data_coll!X10, data_coll!G10))</f>
        <v>885</v>
      </c>
    </row>
    <row r="11" spans="1:7">
      <c r="A11" t="str">
        <f>IF(Data_input!A11="","",Data_input!A11)</f>
        <v>252QD</v>
      </c>
      <c r="B11" t="str">
        <f>IF(Data_input!B11="","",Data_input!B11)</f>
        <v>250PK222QD</v>
      </c>
      <c r="C11" t="str">
        <f>IF(Data_input!C11="","",Data_input!C11)</f>
        <v>JOANNA A/P JAYAPRAKASH</v>
      </c>
      <c r="D11">
        <f>IF(OR(data_coll!R11="", data_coll!G11=""), "", _xlfn.DAYS(data_coll!R11, data_coll!G11))</f>
        <v>541</v>
      </c>
      <c r="E11">
        <f>IF(OR(data_coll!T11="",data_coll!U11=""),"",data_coll!U11-data_coll!T11)</f>
        <v>-15</v>
      </c>
      <c r="F11">
        <f>IF(OR(data_coll!W11="", data_coll!G11=""), "", _xlfn.DAYS(data_coll!W11, data_coll!G11))</f>
        <v>906</v>
      </c>
      <c r="G11">
        <f>IF(OR(data_coll!X11="", data_coll!G11=""), "", _xlfn.DAYS(data_coll!X11, data_coll!G11))</f>
        <v>906</v>
      </c>
    </row>
    <row r="12" spans="1:7">
      <c r="A12" t="str">
        <f>IF(Data_input!A12="","",Data_input!A12)</f>
        <v>243YN</v>
      </c>
      <c r="B12" t="str">
        <f>IF(Data_input!B12="","",Data_input!B12)</f>
        <v>250PK212QD</v>
      </c>
      <c r="C12" t="str">
        <f>IF(Data_input!C12="","",Data_input!C12)</f>
        <v>HAMZA BASHER ALAMIN BARKA</v>
      </c>
      <c r="D12">
        <f>IF(OR(data_coll!R12="", data_coll!G12=""), "", _xlfn.DAYS(data_coll!R12, data_coll!G12))</f>
        <v>133</v>
      </c>
      <c r="E12">
        <f>IF(OR(data_coll!T12="",data_coll!U12=""),"",data_coll!U12-data_coll!T12)</f>
        <v>989</v>
      </c>
      <c r="F12">
        <f>IF(OR(data_coll!W12="", data_coll!G12=""), "", _xlfn.DAYS(data_coll!W12, data_coll!G12))</f>
        <v>97</v>
      </c>
      <c r="G12">
        <f>IF(OR(data_coll!X12="", data_coll!G12=""), "", _xlfn.DAYS(data_coll!X12, data_coll!G12))</f>
        <v>97</v>
      </c>
    </row>
    <row r="13" spans="1:7">
      <c r="A13" t="str">
        <f>IF(Data_input!A13="","",Data_input!A13)</f>
        <v>247R7</v>
      </c>
      <c r="B13" t="str">
        <f>IF(Data_input!B13="","",Data_input!B13)</f>
        <v>250PK272QD</v>
      </c>
      <c r="C13" t="str">
        <f>IF(Data_input!C13="","",Data_input!C13)</f>
        <v>NAHIDA FERDOUS</v>
      </c>
      <c r="D13">
        <f>IF(OR(data_coll!R13="", data_coll!G13=""), "", _xlfn.DAYS(data_coll!R13, data_coll!G13))</f>
        <v>70</v>
      </c>
      <c r="E13">
        <f>IF(OR(data_coll!T13="",data_coll!U13=""),"",data_coll!U13-data_coll!T13)</f>
        <v>988</v>
      </c>
      <c r="F13">
        <f>IF(OR(data_coll!W13="", data_coll!G13=""), "", _xlfn.DAYS(data_coll!W13, data_coll!G13))</f>
        <v>430</v>
      </c>
      <c r="G13">
        <f>IF(OR(data_coll!X13="", data_coll!G13=""), "", _xlfn.DAYS(data_coll!X13, data_coll!G13))</f>
        <v>440</v>
      </c>
    </row>
    <row r="14" spans="1:7">
      <c r="A14" t="str">
        <f>IF(Data_input!A14="","",Data_input!A14)</f>
        <v>2458H</v>
      </c>
      <c r="B14" t="str">
        <f>IF(Data_input!B14="","",Data_input!B14)</f>
        <v>250PK251QD</v>
      </c>
      <c r="C14" t="str">
        <f>IF(Data_input!C14="","",Data_input!C14)</f>
        <v>NAHIDA ANUM</v>
      </c>
      <c r="D14">
        <f>IF(OR(data_coll!R14="", data_coll!G14=""), "", _xlfn.DAYS(data_coll!R14, data_coll!G14))</f>
        <v>127</v>
      </c>
      <c r="E14">
        <f>IF(OR(data_coll!T14="",data_coll!U14=""),"",data_coll!U14-data_coll!T14)</f>
        <v>1018</v>
      </c>
      <c r="F14">
        <f>IF(OR(data_coll!W14="", data_coll!G14=""), "", _xlfn.DAYS(data_coll!W14, data_coll!G14))</f>
        <v>96</v>
      </c>
      <c r="G14">
        <f>IF(OR(data_coll!X14="", data_coll!G14=""), "", _xlfn.DAYS(data_coll!X14, data_coll!G14))</f>
        <v>96</v>
      </c>
    </row>
    <row r="15" spans="1:7">
      <c r="A15" t="str">
        <f>IF(Data_input!A15="","",Data_input!A15)</f>
        <v>245YK</v>
      </c>
      <c r="B15" t="str">
        <f>IF(Data_input!B15="","",Data_input!B15)</f>
        <v>250PB252PD</v>
      </c>
      <c r="C15" t="str">
        <f>IF(Data_input!C15="","",Data_input!C15)</f>
        <v>KHAN FERDOUS</v>
      </c>
      <c r="D15">
        <f>IF(OR(data_coll!R15="", data_coll!G15=""), "", _xlfn.DAYS(data_coll!R15, data_coll!G15))</f>
        <v>199</v>
      </c>
      <c r="E15">
        <f>IF(OR(data_coll!T15="",data_coll!U15=""),"",data_coll!U15-data_coll!T15)</f>
        <v>133</v>
      </c>
      <c r="F15">
        <f>IF(OR(data_coll!W15="", data_coll!G15=""), "", _xlfn.DAYS(data_coll!W15, data_coll!G15))</f>
        <v>564</v>
      </c>
      <c r="G15">
        <f>IF(OR(data_coll!X15="", data_coll!G15=""), "", _xlfn.DAYS(data_coll!X15, data_coll!G15))</f>
        <v>595</v>
      </c>
    </row>
    <row r="16" spans="1:7">
      <c r="A16" t="str">
        <f>IF(Data_input!A16="","",Data_input!A16)</f>
        <v>245ZK</v>
      </c>
      <c r="B16" t="str">
        <f>IF(Data_input!B16="","",Data_input!B16)</f>
        <v>250PB244PD</v>
      </c>
      <c r="C16" t="str">
        <f>IF(Data_input!C16="","",Data_input!C16)</f>
        <v>PUARA A/P LACHMANAN</v>
      </c>
      <c r="D16">
        <f>IF(OR(data_coll!R16="", data_coll!G16=""), "", _xlfn.DAYS(data_coll!R16, data_coll!G16))</f>
        <v>192</v>
      </c>
      <c r="E16">
        <f>IF(OR(data_coll!T16="",data_coll!U16=""),"",data_coll!U16-data_coll!T16)</f>
        <v>133</v>
      </c>
      <c r="F16">
        <f>IF(OR(data_coll!W16="", data_coll!G16=""), "", _xlfn.DAYS(data_coll!W16, data_coll!G16))</f>
        <v>557</v>
      </c>
      <c r="G16">
        <f>IF(OR(data_coll!X16="", data_coll!G16=""), "", _xlfn.DAYS(data_coll!X16, data_coll!G16))</f>
        <v>588</v>
      </c>
    </row>
    <row r="17" spans="1:7">
      <c r="A17" t="str">
        <f>IF(Data_input!A17="","",Data_input!A17)</f>
        <v>245RK</v>
      </c>
      <c r="B17" t="str">
        <f>IF(Data_input!B17="","",Data_input!B17)</f>
        <v>250PB258PD</v>
      </c>
      <c r="C17" t="str">
        <f>IF(Data_input!C17="","",Data_input!C17)</f>
        <v>YONG YU KIN</v>
      </c>
      <c r="D17">
        <f>IF(OR(data_coll!R17="", data_coll!G17=""), "", _xlfn.DAYS(data_coll!R17, data_coll!G17))</f>
        <v>190</v>
      </c>
      <c r="E17">
        <f>IF(OR(data_coll!T17="",data_coll!U17=""),"",data_coll!U17-data_coll!T17)</f>
        <v>133</v>
      </c>
      <c r="F17">
        <f>IF(OR(data_coll!W17="", data_coll!G17=""), "", _xlfn.DAYS(data_coll!W17, data_coll!G17))</f>
        <v>555</v>
      </c>
      <c r="G17">
        <f>IF(OR(data_coll!X17="", data_coll!G17=""), "", _xlfn.DAYS(data_coll!X17, data_coll!G17))</f>
        <v>616</v>
      </c>
    </row>
    <row r="18" spans="1:7">
      <c r="A18" t="str">
        <f>IF(Data_input!A18="","",Data_input!A18)</f>
        <v>247R7</v>
      </c>
      <c r="B18" t="str">
        <f>IF(Data_input!B18="","",Data_input!B18)</f>
        <v>250PB259PD</v>
      </c>
      <c r="C18" t="str">
        <f>IF(Data_input!C18="","",Data_input!C18)</f>
        <v>WONG KIN HUAT</v>
      </c>
      <c r="D18">
        <f>IF(OR(data_coll!R18="", data_coll!G18=""), "", _xlfn.DAYS(data_coll!R18, data_coll!G18))</f>
        <v>363</v>
      </c>
      <c r="E18">
        <f>IF(OR(data_coll!T18="",data_coll!U18=""),"",data_coll!U18-data_coll!T18)</f>
        <v>-22</v>
      </c>
      <c r="F18">
        <f>IF(OR(data_coll!W18="", data_coll!G18=""), "", _xlfn.DAYS(data_coll!W18, data_coll!G18))</f>
        <v>877</v>
      </c>
      <c r="G18">
        <f>IF(OR(data_coll!X18="", data_coll!G18=""), "", _xlfn.DAYS(data_coll!X18, data_coll!G18))</f>
        <v>877</v>
      </c>
    </row>
    <row r="19" spans="1:7">
      <c r="A19" t="str">
        <f>IF(Data_input!A19="","",Data_input!A19)</f>
        <v>247R8</v>
      </c>
      <c r="B19" t="str">
        <f>IF(Data_input!B19="","",Data_input!B19)</f>
        <v>250PB260PD</v>
      </c>
      <c r="C19" t="str">
        <f>IF(Data_input!C19="","",Data_input!C19)</f>
        <v>WONG KANG JUN</v>
      </c>
      <c r="D19">
        <f>IF(OR(data_coll!R19="", data_coll!G19=""), "", _xlfn.DAYS(data_coll!R19, data_coll!G19))</f>
        <v>364</v>
      </c>
      <c r="E19">
        <f>IF(OR(data_coll!T19="",data_coll!U19=""),"",data_coll!U19-data_coll!T19)</f>
        <v>-23</v>
      </c>
      <c r="F19">
        <f>IF(OR(data_coll!W19="", data_coll!G19=""), "", _xlfn.DAYS(data_coll!W19, data_coll!G19))</f>
        <v>878</v>
      </c>
      <c r="G19">
        <f>IF(OR(data_coll!X19="", data_coll!G19=""), "", _xlfn.DAYS(data_coll!X19, data_coll!G19))</f>
        <v>878</v>
      </c>
    </row>
    <row r="20" spans="1:7">
      <c r="A20" t="str">
        <f>IF(Data_input!A20="","",Data_input!A20)</f>
        <v>247R9</v>
      </c>
      <c r="B20" t="str">
        <f>IF(Data_input!B20="","",Data_input!B20)</f>
        <v>250PA213RK</v>
      </c>
      <c r="C20" t="str">
        <f>IF(Data_input!C20="","",Data_input!C20)</f>
        <v xml:space="preserve">AHMAD FAISAL BIN YUSOF  </v>
      </c>
      <c r="D20">
        <f>IF(OR(data_coll!R20="", data_coll!G20=""), "", _xlfn.DAYS(data_coll!R20, data_coll!G20))</f>
        <v>474</v>
      </c>
      <c r="E20">
        <f>IF(OR(data_coll!T20="",data_coll!U20=""),"",data_coll!U20-data_coll!T20)</f>
        <v>-24</v>
      </c>
      <c r="F20">
        <f>IF(OR(data_coll!W20="", data_coll!G20=""), "", _xlfn.DAYS(data_coll!W20, data_coll!G20))</f>
        <v>957</v>
      </c>
      <c r="G20">
        <f>IF(OR(data_coll!X20="", data_coll!G20=""), "", _xlfn.DAYS(data_coll!X20, data_coll!G20))</f>
        <v>957</v>
      </c>
    </row>
    <row r="21" spans="1:7">
      <c r="A21" t="str">
        <f>IF(Data_input!A21="","",Data_input!A21)</f>
        <v>243A9</v>
      </c>
      <c r="B21" t="str">
        <f>IF(Data_input!B21="","",Data_input!B21)</f>
        <v>250PK245T1</v>
      </c>
      <c r="C21" t="str">
        <f>IF(Data_input!C21="","",Data_input!C21)</f>
        <v>HANG JIA YEE</v>
      </c>
      <c r="D21">
        <f>IF(OR(data_coll!R21="", data_coll!G21=""), "", _xlfn.DAYS(data_coll!R21, data_coll!G21))</f>
        <v>105</v>
      </c>
      <c r="E21">
        <f>IF(OR(data_coll!T21="",data_coll!U21=""),"",data_coll!U21-data_coll!T21)</f>
        <v>245</v>
      </c>
      <c r="F21">
        <f>IF(OR(data_coll!W21="", data_coll!G21=""), "", _xlfn.DAYS(data_coll!W21, data_coll!G21))</f>
        <v>165</v>
      </c>
      <c r="G21" t="str">
        <f>IF(OR(data_coll!X21="", data_coll!G21=""), "", _xlfn.DAYS(data_coll!X21, data_coll!G21))</f>
        <v/>
      </c>
    </row>
    <row r="22" spans="1:7">
      <c r="A22" t="str">
        <f>IF(Data_input!A22="","",Data_input!A22)</f>
        <v>248RK</v>
      </c>
      <c r="B22" t="str">
        <f>IF(Data_input!B22="","",Data_input!B22)</f>
        <v>250PH272RM</v>
      </c>
      <c r="C22" t="str">
        <f>IF(Data_input!C22="","",Data_input!C22)</f>
        <v xml:space="preserve">LEE KOK MING  </v>
      </c>
      <c r="D22">
        <f>IF(OR(data_coll!R22="", data_coll!G22=""), "", _xlfn.DAYS(data_coll!R22, data_coll!G22))</f>
        <v>113</v>
      </c>
      <c r="E22">
        <f>IF(OR(data_coll!T22="",data_coll!U22=""),"",data_coll!U22-data_coll!T22)</f>
        <v>221</v>
      </c>
      <c r="F22">
        <f>IF(OR(data_coll!W22="", data_coll!G22=""), "", _xlfn.DAYS(data_coll!W22, data_coll!G22))</f>
        <v>113</v>
      </c>
      <c r="G22" t="str">
        <f>IF(OR(data_coll!X22="", data_coll!G22=""), "", _xlfn.DAYS(data_coll!X22, data_coll!G22))</f>
        <v/>
      </c>
    </row>
    <row r="23" spans="1:7">
      <c r="A23" t="str">
        <f>IF(Data_input!A23="","",Data_input!A23)</f>
        <v>249YH</v>
      </c>
      <c r="B23" t="str">
        <f>IF(Data_input!B23="","",Data_input!B23)</f>
        <v>250PN281Q2</v>
      </c>
      <c r="C23" t="str">
        <f>IF(Data_input!C23="","",Data_input!C23)</f>
        <v>SITI NUR AIN BINTI RAHMAN</v>
      </c>
      <c r="D23">
        <f>IF(OR(data_coll!R23="", data_coll!G23=""), "", _xlfn.DAYS(data_coll!R23, data_coll!G23))</f>
        <v>112</v>
      </c>
      <c r="E23">
        <f>IF(OR(data_coll!T23="",data_coll!U23=""),"",data_coll!U23-data_coll!T23)</f>
        <v>214</v>
      </c>
      <c r="F23">
        <f>IF(OR(data_coll!W23="", data_coll!G23=""), "", _xlfn.DAYS(data_coll!W23, data_coll!G23))</f>
        <v>144</v>
      </c>
      <c r="G23" t="str">
        <f>IF(OR(data_coll!X23="", data_coll!G23=""), "", _xlfn.DAYS(data_coll!X23, data_coll!G23))</f>
        <v/>
      </c>
    </row>
    <row r="24" spans="1:7">
      <c r="A24" t="str">
        <f>IF(Data_input!A24="","",Data_input!A24)</f>
        <v>2468Z</v>
      </c>
      <c r="B24" t="str">
        <f>IF(Data_input!B24="","",Data_input!B24)</f>
        <v>250PM269QD</v>
      </c>
      <c r="C24" t="str">
        <f>IF(Data_input!C24="","",Data_input!C24)</f>
        <v xml:space="preserve">RAHUL KUMAR SINGH  </v>
      </c>
      <c r="D24">
        <f>IF(OR(data_coll!R24="", data_coll!G24=""), "", _xlfn.DAYS(data_coll!R24, data_coll!G24))</f>
        <v>211</v>
      </c>
      <c r="E24">
        <f>IF(OR(data_coll!T24="",data_coll!U24=""),"",data_coll!U24-data_coll!T24)</f>
        <v>122</v>
      </c>
      <c r="F24">
        <f>IF(OR(data_coll!W24="", data_coll!G24=""), "", _xlfn.DAYS(data_coll!W24, data_coll!G24))</f>
        <v>212</v>
      </c>
      <c r="G24" t="str">
        <f>IF(OR(data_coll!X24="", data_coll!G24=""), "", _xlfn.DAYS(data_coll!X24, data_coll!G24))</f>
        <v/>
      </c>
    </row>
    <row r="25" spans="1:7">
      <c r="A25" t="str">
        <f>IF(Data_input!A25="","",Data_input!A25)</f>
        <v>247JK</v>
      </c>
      <c r="B25" t="str">
        <f>IF(Data_input!B25="","",Data_input!B25)</f>
        <v>250PJ258RD</v>
      </c>
      <c r="C25" t="str">
        <f>IF(Data_input!C25="","",Data_input!C25)</f>
        <v xml:space="preserve">CHAN WEI HONG  </v>
      </c>
      <c r="D25">
        <f>IF(OR(data_coll!R25="", data_coll!G25=""), "", _xlfn.DAYS(data_coll!R25, data_coll!G25))</f>
        <v>179</v>
      </c>
      <c r="E25">
        <f>IF(OR(data_coll!T25="",data_coll!U25=""),"",data_coll!U25-data_coll!T25)</f>
        <v>92</v>
      </c>
      <c r="F25">
        <f>IF(OR(data_coll!W25="", data_coll!G25=""), "", _xlfn.DAYS(data_coll!W25, data_coll!G25))</f>
        <v>220</v>
      </c>
      <c r="G25" t="str">
        <f>IF(OR(data_coll!X25="", data_coll!G25=""), "", _xlfn.DAYS(data_coll!X25, data_coll!G25))</f>
        <v/>
      </c>
    </row>
    <row r="26" spans="1:7">
      <c r="A26" t="str">
        <f>IF(Data_input!A26="","",Data_input!A26)</f>
        <v>245PL</v>
      </c>
      <c r="B26" t="str">
        <f>IF(Data_input!B26="","",Data_input!B26)</f>
        <v>250PL293T1</v>
      </c>
      <c r="C26" t="str">
        <f>IF(Data_input!C26="","",Data_input!C26)</f>
        <v xml:space="preserve">NURUL HUDA BINTI AZIZ  </v>
      </c>
      <c r="D26">
        <f>IF(OR(data_coll!R26="", data_coll!G26=""), "", _xlfn.DAYS(data_coll!R26, data_coll!G26))</f>
        <v>238</v>
      </c>
      <c r="E26">
        <f>IF(OR(data_coll!T26="",data_coll!U26=""),"",data_coll!U26-data_coll!T26)</f>
        <v>61</v>
      </c>
      <c r="F26">
        <f>IF(OR(data_coll!W26="", data_coll!G26=""), "", _xlfn.DAYS(data_coll!W26, data_coll!G26))</f>
        <v>263</v>
      </c>
      <c r="G26" t="str">
        <f>IF(OR(data_coll!X26="", data_coll!G26=""), "", _xlfn.DAYS(data_coll!X26, data_coll!G26))</f>
        <v/>
      </c>
    </row>
    <row r="27" spans="1:7">
      <c r="A27" t="str">
        <f>IF(Data_input!A27="","",Data_input!A27)</f>
        <v>244XM</v>
      </c>
      <c r="B27" t="str">
        <f>IF(Data_input!B27="","",Data_input!B27)</f>
        <v>250PR241PD</v>
      </c>
      <c r="C27" t="str">
        <f>IF(Data_input!C27="","",Data_input!C27)</f>
        <v xml:space="preserve">MOHAMMAD ALI KHAN </v>
      </c>
      <c r="D27">
        <f>IF(OR(data_coll!R27="", data_coll!G27=""), "", _xlfn.DAYS(data_coll!R27, data_coll!G27))</f>
        <v>369</v>
      </c>
      <c r="E27">
        <f>IF(OR(data_coll!T27="",data_coll!U27=""),"",data_coll!U27-data_coll!T27)</f>
        <v>-2</v>
      </c>
      <c r="F27">
        <f>IF(OR(data_coll!W27="", data_coll!G27=""), "", _xlfn.DAYS(data_coll!W27, data_coll!G27))</f>
        <v>464</v>
      </c>
      <c r="G27" t="str">
        <f>IF(OR(data_coll!X27="", data_coll!G27=""), "", _xlfn.DAYS(data_coll!X27, data_coll!G27))</f>
        <v/>
      </c>
    </row>
    <row r="28" spans="1:7">
      <c r="A28" t="str">
        <f>IF(Data_input!A28="","",Data_input!A28)</f>
        <v>2495N</v>
      </c>
      <c r="B28" t="str">
        <f>IF(Data_input!B28="","",Data_input!B28)</f>
        <v>250PB237QK</v>
      </c>
      <c r="C28" t="str">
        <f>IF(Data_input!C28="","",Data_input!C28)</f>
        <v xml:space="preserve">TAN JIA WEI  </v>
      </c>
      <c r="D28">
        <f>IF(OR(data_coll!R28="", data_coll!G28=""), "", _xlfn.DAYS(data_coll!R28, data_coll!G28))</f>
        <v>369</v>
      </c>
      <c r="E28">
        <f>IF(OR(data_coll!T28="",data_coll!U28=""),"",data_coll!U28-data_coll!T28)</f>
        <v>-7</v>
      </c>
      <c r="F28">
        <f>IF(OR(data_coll!W28="", data_coll!G28=""), "", _xlfn.DAYS(data_coll!W28, data_coll!G28))</f>
        <v>464</v>
      </c>
      <c r="G28" t="str">
        <f>IF(OR(data_coll!X28="", data_coll!G28=""), "", _xlfn.DAYS(data_coll!X28, data_coll!G28))</f>
        <v/>
      </c>
    </row>
    <row r="29" spans="1:7">
      <c r="A29" t="str">
        <f>IF(Data_input!A29="","",Data_input!A29)</f>
        <v>246ZP</v>
      </c>
      <c r="B29" t="str">
        <f>IF(Data_input!B29="","",Data_input!B29)</f>
        <v>250PC276R2</v>
      </c>
      <c r="C29" t="str">
        <f>IF(Data_input!C29="","",Data_input!C29)</f>
        <v xml:space="preserve">FARHAN BIN ISMAIL  </v>
      </c>
      <c r="D29">
        <f>IF(OR(data_coll!R29="", data_coll!G29=""), "", _xlfn.DAYS(data_coll!R29, data_coll!G29))</f>
        <v>390</v>
      </c>
      <c r="E29">
        <f>IF(OR(data_coll!T29="",data_coll!U29=""),"",data_coll!U29-data_coll!T29)</f>
        <v>-11</v>
      </c>
      <c r="F29">
        <f>IF(OR(data_coll!W29="", data_coll!G29=""), "", _xlfn.DAYS(data_coll!W29, data_coll!G29))</f>
        <v>464</v>
      </c>
      <c r="G29" t="str">
        <f>IF(OR(data_coll!X29="", data_coll!G29=""), "", _xlfn.DAYS(data_coll!X29, data_coll!G29))</f>
        <v/>
      </c>
    </row>
    <row r="30" spans="1:7">
      <c r="A30" t="str">
        <f>IF(Data_input!A30="","",Data_input!A30)</f>
        <v>247QR</v>
      </c>
      <c r="B30" t="str">
        <f>IF(Data_input!B30="","",Data_input!B30)</f>
        <v>250PE261RJ</v>
      </c>
      <c r="C30" t="str">
        <f>IF(Data_input!C30="","",Data_input!C30)</f>
        <v>LIM PEI YEE</v>
      </c>
      <c r="D30">
        <f>IF(OR(data_coll!R30="", data_coll!G30=""), "", _xlfn.DAYS(data_coll!R30, data_coll!G30))</f>
        <v>387</v>
      </c>
      <c r="E30">
        <f>IF(OR(data_coll!T30="",data_coll!U30=""),"",data_coll!U30-data_coll!T30)</f>
        <v>-17</v>
      </c>
      <c r="F30">
        <f>IF(OR(data_coll!W30="", data_coll!G30=""), "", _xlfn.DAYS(data_coll!W30, data_coll!G30))</f>
        <v>485</v>
      </c>
      <c r="G30" t="str">
        <f>IF(OR(data_coll!X30="", data_coll!G30=""), "", _xlfn.DAYS(data_coll!X30, data_coll!G30))</f>
        <v/>
      </c>
    </row>
    <row r="31" spans="1:7">
      <c r="A31" t="str">
        <f>IF(Data_input!A31="","",Data_input!A31)</f>
        <v>248R7</v>
      </c>
      <c r="B31" t="str">
        <f>IF(Data_input!B31="","",Data_input!B31)</f>
        <v>250PG248PD</v>
      </c>
      <c r="C31" t="str">
        <f>IF(Data_input!C31="","",Data_input!C31)</f>
        <v xml:space="preserve">RAJESH PRASAD  </v>
      </c>
      <c r="D31">
        <f>IF(OR(data_coll!R31="", data_coll!G31=""), "", _xlfn.DAYS(data_coll!R31, data_coll!G31))</f>
        <v>80</v>
      </c>
      <c r="E31">
        <f>IF(OR(data_coll!T31="",data_coll!U31=""),"",data_coll!U31-data_coll!T31)</f>
        <v>228</v>
      </c>
      <c r="F31">
        <f>IF(OR(data_coll!W31="", data_coll!G31=""), "", _xlfn.DAYS(data_coll!W31, data_coll!G31))</f>
        <v>155</v>
      </c>
      <c r="G31" t="str">
        <f>IF(OR(data_coll!X31="", data_coll!G31=""), "", _xlfn.DAYS(data_coll!X31, data_coll!G31))</f>
        <v/>
      </c>
    </row>
    <row r="32" spans="1:7">
      <c r="A32" t="str">
        <f>IF(Data_input!A32="","",Data_input!A32)</f>
        <v>2458T</v>
      </c>
      <c r="B32" t="str">
        <f>IF(Data_input!B32="","",Data_input!B32)</f>
        <v>250PH234RM</v>
      </c>
      <c r="C32" t="str">
        <f>IF(Data_input!C32="","",Data_input!C32)</f>
        <v xml:space="preserve">GOH MUN KIT  </v>
      </c>
      <c r="D32">
        <f>IF(OR(data_coll!R32="", data_coll!G32=""), "", _xlfn.DAYS(data_coll!R32, data_coll!G32))</f>
        <v>107</v>
      </c>
      <c r="E32">
        <f>IF(OR(data_coll!T32="",data_coll!U32=""),"",data_coll!U32-data_coll!T32)</f>
        <v>197</v>
      </c>
      <c r="F32">
        <f>IF(OR(data_coll!W32="", data_coll!G32=""), "", _xlfn.DAYS(data_coll!W32, data_coll!G32))</f>
        <v>137</v>
      </c>
      <c r="G32" t="str">
        <f>IF(OR(data_coll!X32="", data_coll!G32=""), "", _xlfn.DAYS(data_coll!X32, data_coll!G32))</f>
        <v/>
      </c>
    </row>
    <row r="33" spans="1:7">
      <c r="A33" t="str">
        <f>IF(Data_input!A33="","",Data_input!A33)</f>
        <v>2465K</v>
      </c>
      <c r="B33" t="str">
        <f>IF(Data_input!B33="","",Data_input!B33)</f>
        <v>250PJ285Q1</v>
      </c>
      <c r="C33" t="str">
        <f>IF(Data_input!C33="","",Data_input!C33)</f>
        <v xml:space="preserve">AISHA BINTI HASSAN  </v>
      </c>
      <c r="D33">
        <f>IF(OR(data_coll!R33="", data_coll!G33=""), "", _xlfn.DAYS(data_coll!R33, data_coll!G33))</f>
        <v>38</v>
      </c>
      <c r="E33">
        <f>IF(OR(data_coll!T33="",data_coll!U33=""),"",data_coll!U33-data_coll!T33)</f>
        <v>258</v>
      </c>
      <c r="F33">
        <f>IF(OR(data_coll!W33="", data_coll!G33=""), "", _xlfn.DAYS(data_coll!W33, data_coll!G33))</f>
        <v>121</v>
      </c>
      <c r="G33" t="str">
        <f>IF(OR(data_coll!X33="", data_coll!G33=""), "", _xlfn.DAYS(data_coll!X33, data_coll!G33))</f>
        <v/>
      </c>
    </row>
    <row r="34" spans="1:7">
      <c r="A34" t="str">
        <f>IF(Data_input!A34="","",Data_input!A34)</f>
        <v>247ZK</v>
      </c>
      <c r="B34" t="str">
        <f>IF(Data_input!B34="","",Data_input!B34)</f>
        <v>250PK292RD</v>
      </c>
      <c r="C34" t="str">
        <f>IF(Data_input!C34="","",Data_input!C34)</f>
        <v xml:space="preserve">ONG JUN HAO  </v>
      </c>
      <c r="D34">
        <f>IF(OR(data_coll!R34="", data_coll!G34=""), "", _xlfn.DAYS(data_coll!R34, data_coll!G34))</f>
        <v>220</v>
      </c>
      <c r="E34">
        <f>IF(OR(data_coll!T34="",data_coll!U34=""),"",data_coll!U34-data_coll!T34)</f>
        <v>136</v>
      </c>
      <c r="F34">
        <f>IF(OR(data_coll!W34="", data_coll!G34=""), "", _xlfn.DAYS(data_coll!W34, data_coll!G34))</f>
        <v>212</v>
      </c>
      <c r="G34" t="str">
        <f>IF(OR(data_coll!X34="", data_coll!G34=""), "", _xlfn.DAYS(data_coll!X34, data_coll!G34))</f>
        <v/>
      </c>
    </row>
    <row r="35" spans="1:7">
      <c r="A35" t="str">
        <f>IF(Data_input!A35="","",Data_input!A35)</f>
        <v>249PK</v>
      </c>
      <c r="B35" t="str">
        <f>IF(Data_input!B35="","",Data_input!B35)</f>
        <v>250PL239R2</v>
      </c>
      <c r="C35" t="str">
        <f>IF(Data_input!C35="","",Data_input!C35)</f>
        <v xml:space="preserve">PRIYA DEVI NAIR  </v>
      </c>
      <c r="D35">
        <f>IF(OR(data_coll!R35="", data_coll!G35=""), "", _xlfn.DAYS(data_coll!R35, data_coll!G35))</f>
        <v>267</v>
      </c>
      <c r="E35">
        <f>IF(OR(data_coll!T35="",data_coll!U35=""),"",data_coll!U35-data_coll!T35)</f>
        <v>145</v>
      </c>
      <c r="F35">
        <f>IF(OR(data_coll!W35="", data_coll!G35=""), "", _xlfn.DAYS(data_coll!W35, data_coll!G35))</f>
        <v>267</v>
      </c>
      <c r="G35" t="str">
        <f>IF(OR(data_coll!X35="", data_coll!G35=""), "", _xlfn.DAYS(data_coll!X35, data_coll!G35))</f>
        <v/>
      </c>
    </row>
    <row r="36" spans="1:7">
      <c r="A36" t="str">
        <f>IF(Data_input!A36="","",Data_input!A36)</f>
        <v>243YK</v>
      </c>
      <c r="B36" t="str">
        <f>IF(Data_input!B36="","",Data_input!B36)</f>
        <v>250PN278QD</v>
      </c>
      <c r="C36" t="str">
        <f>IF(Data_input!C36="","",Data_input!C36)</f>
        <v xml:space="preserve">CHONG KAI LUN </v>
      </c>
      <c r="D36">
        <f>IF(OR(data_coll!R36="", data_coll!G36=""), "", _xlfn.DAYS(data_coll!R36, data_coll!G36))</f>
        <v>254</v>
      </c>
      <c r="E36">
        <f>IF(OR(data_coll!T36="",data_coll!U36=""),"",data_coll!U36-data_coll!T36)</f>
        <v>105</v>
      </c>
      <c r="F36">
        <f>IF(OR(data_coll!W36="", data_coll!G36=""), "", _xlfn.DAYS(data_coll!W36, data_coll!G36))</f>
        <v>274</v>
      </c>
      <c r="G36" t="str">
        <f>IF(OR(data_coll!X36="", data_coll!G36=""), "", _xlfn.DAYS(data_coll!X36, data_coll!G36))</f>
        <v/>
      </c>
    </row>
    <row r="37" spans="1:7">
      <c r="A37" t="str">
        <f>IF(Data_input!A37="","",Data_input!A37)</f>
        <v>245MK</v>
      </c>
      <c r="B37" t="str">
        <f>IF(Data_input!B37="","",Data_input!B37)</f>
        <v>250PR284PK</v>
      </c>
      <c r="C37" t="str">
        <f>IF(Data_input!C37="","",Data_input!C37)</f>
        <v xml:space="preserve">ABDUL RAHMAN BIN OTHMAN  </v>
      </c>
      <c r="D37">
        <f>IF(OR(data_coll!R37="", data_coll!G37=""), "", _xlfn.DAYS(data_coll!R37, data_coll!G37))</f>
        <v>346</v>
      </c>
      <c r="E37">
        <f>IF(OR(data_coll!T37="",data_coll!U37=""),"",data_coll!U37-data_coll!T37)</f>
        <v>-17</v>
      </c>
      <c r="F37">
        <f>IF(OR(data_coll!W37="", data_coll!G37=""), "", _xlfn.DAYS(data_coll!W37, data_coll!G37))</f>
        <v>475</v>
      </c>
      <c r="G37" t="str">
        <f>IF(OR(data_coll!X37="", data_coll!G37=""), "", _xlfn.DAYS(data_coll!X37, data_coll!G37))</f>
        <v/>
      </c>
    </row>
    <row r="38" spans="1:7">
      <c r="A38" t="str">
        <f>IF(Data_input!A38="","",Data_input!A38)</f>
        <v>248RM</v>
      </c>
      <c r="B38" t="str">
        <f>IF(Data_input!B38="","",Data_input!B38)</f>
        <v>250PS295RM</v>
      </c>
      <c r="C38" t="str">
        <f>IF(Data_input!C38="","",Data_input!C38)</f>
        <v>YAP SIEW LING</v>
      </c>
      <c r="D38">
        <f>IF(OR(data_coll!R38="", data_coll!G38=""), "", _xlfn.DAYS(data_coll!R38, data_coll!G38))</f>
        <v>359</v>
      </c>
      <c r="E38">
        <f>IF(OR(data_coll!T38="",data_coll!U38=""),"",data_coll!U38-data_coll!T38)</f>
        <v>-18</v>
      </c>
      <c r="F38">
        <f>IF(OR(data_coll!W38="", data_coll!G38=""), "", _xlfn.DAYS(data_coll!W38, data_coll!G38))</f>
        <v>491</v>
      </c>
      <c r="G38" t="str">
        <f>IF(OR(data_coll!X38="", data_coll!G38=""), "", _xlfn.DAYS(data_coll!X38, data_coll!G38))</f>
        <v/>
      </c>
    </row>
    <row r="39" spans="1:7">
      <c r="A39" t="str">
        <f>IF(Data_input!A39="","",Data_input!A39)</f>
        <v>249RK</v>
      </c>
      <c r="B39" t="str">
        <f>IF(Data_input!B39="","",Data_input!B39)</f>
        <v>250PT244R3</v>
      </c>
      <c r="C39" t="str">
        <f>IF(Data_input!C39="","",Data_input!C39)</f>
        <v xml:space="preserve">MIRA SHARMINA BINTI HAMZAH  </v>
      </c>
      <c r="D39">
        <f>IF(OR(data_coll!R39="", data_coll!G39=""), "", _xlfn.DAYS(data_coll!R39, data_coll!G39))</f>
        <v>372</v>
      </c>
      <c r="E39">
        <f>IF(OR(data_coll!T39="",data_coll!U39=""),"",data_coll!U39-data_coll!T39)</f>
        <v>-19</v>
      </c>
      <c r="F39">
        <f>IF(OR(data_coll!W39="", data_coll!G39=""), "", _xlfn.DAYS(data_coll!W39, data_coll!G39))</f>
        <v>470</v>
      </c>
      <c r="G39" t="str">
        <f>IF(OR(data_coll!X39="", data_coll!G39=""), "", _xlfn.DAYS(data_coll!X39, data_coll!G39))</f>
        <v/>
      </c>
    </row>
    <row r="40" spans="1:7">
      <c r="A40" t="str">
        <f>IF(Data_input!A40="","",Data_input!A40)</f>
        <v>247LH</v>
      </c>
      <c r="B40" t="str">
        <f>IF(Data_input!B40="","",Data_input!B40)</f>
        <v>250PS297RL</v>
      </c>
      <c r="C40" t="str">
        <f>IF(Data_input!C40="","",Data_input!C40)</f>
        <v>KOH CHEE MING</v>
      </c>
      <c r="D40">
        <f>IF(OR(data_coll!R40="", data_coll!G40=""), "", _xlfn.DAYS(data_coll!R40, data_coll!G40))</f>
        <v>374</v>
      </c>
      <c r="E40">
        <f>IF(OR(data_coll!T40="",data_coll!U40=""),"",data_coll!U40-data_coll!T40)</f>
        <v>-20</v>
      </c>
      <c r="F40">
        <f>IF(OR(data_coll!W40="", data_coll!G40=""), "", _xlfn.DAYS(data_coll!W40, data_coll!G40))</f>
        <v>475</v>
      </c>
      <c r="G40" t="str">
        <f>IF(OR(data_coll!X40="", data_coll!G40=""), "", _xlfn.DAYS(data_coll!X40, data_coll!G40))</f>
        <v/>
      </c>
    </row>
    <row r="41" spans="1:7">
      <c r="A41" t="str">
        <f>IF(Data_input!A41="","",Data_input!A41)</f>
        <v>247LH</v>
      </c>
      <c r="B41" t="str">
        <f>IF(Data_input!B41="","",Data_input!B41)</f>
        <v>250PS297RL</v>
      </c>
      <c r="C41" t="str">
        <f>IF(Data_input!C41="","",Data_input!C41)</f>
        <v>ANG ANSON</v>
      </c>
      <c r="D41" t="str">
        <f>IF(OR(data_coll!R41="", data_coll!G41=""), "", _xlfn.DAYS(data_coll!R41, data_coll!G41))</f>
        <v/>
      </c>
      <c r="E41" t="str">
        <f>IF(OR(data_coll!T41="",data_coll!U41=""),"",data_coll!U41-data_coll!T41)</f>
        <v/>
      </c>
      <c r="F41" t="str">
        <f>IF(OR(data_coll!W41="", data_coll!G41=""), "", _xlfn.DAYS(data_coll!W41, data_coll!G41))</f>
        <v/>
      </c>
      <c r="G41" t="str">
        <f>IF(OR(data_coll!X41="", data_coll!G41=""), "", _xlfn.DAYS(data_coll!X41, data_coll!G41))</f>
        <v/>
      </c>
    </row>
    <row r="42" spans="1:7">
      <c r="A42" t="str">
        <f>IF(Data_input!A42="","",Data_input!A42)</f>
        <v/>
      </c>
      <c r="B42" t="str">
        <f>IF(Data_input!B42="","",Data_input!B42)</f>
        <v/>
      </c>
      <c r="C42" t="str">
        <f>IF(Data_input!C42="","",Data_input!C42)</f>
        <v/>
      </c>
      <c r="D42" t="str">
        <f>IF(OR(data_coll!R42="", data_coll!G42=""), "", _xlfn.DAYS(data_coll!R42, data_coll!G42))</f>
        <v/>
      </c>
      <c r="E42" t="str">
        <f>IF(OR(data_coll!T42="",data_coll!U42=""),"",data_coll!U42-data_coll!T42)</f>
        <v/>
      </c>
      <c r="F42" t="str">
        <f>IF(OR(data_coll!W42="", data_coll!G42=""), "", _xlfn.DAYS(data_coll!W42, data_coll!G42))</f>
        <v/>
      </c>
      <c r="G42" t="str">
        <f>IF(OR(data_coll!X42="", data_coll!G42=""), "", _xlfn.DAYS(data_coll!X42, data_coll!G42))</f>
        <v/>
      </c>
    </row>
    <row r="43" spans="1:7">
      <c r="A43" t="str">
        <f>IF(Data_input!A43="","",Data_input!A43)</f>
        <v/>
      </c>
      <c r="B43" t="str">
        <f>IF(Data_input!B43="","",Data_input!B43)</f>
        <v/>
      </c>
      <c r="C43" t="str">
        <f>IF(Data_input!C43="","",Data_input!C43)</f>
        <v/>
      </c>
      <c r="D43" t="str">
        <f>IF(OR(data_coll!R43="", data_coll!G43=""), "", _xlfn.DAYS(data_coll!R43, data_coll!G43))</f>
        <v/>
      </c>
      <c r="E43" t="str">
        <f>IF(OR(data_coll!T43="",data_coll!U43=""),"",data_coll!U43-data_coll!T43)</f>
        <v/>
      </c>
      <c r="F43" t="str">
        <f>IF(OR(data_coll!W43="", data_coll!G43=""), "", _xlfn.DAYS(data_coll!W43, data_coll!G43))</f>
        <v/>
      </c>
      <c r="G43" t="str">
        <f>IF(OR(data_coll!X43="", data_coll!G43=""), "", _xlfn.DAYS(data_coll!X43, data_coll!G43))</f>
        <v/>
      </c>
    </row>
    <row r="44" spans="1:7">
      <c r="A44" t="str">
        <f>IF(Data_input!A44="","",Data_input!A44)</f>
        <v/>
      </c>
      <c r="B44" t="str">
        <f>IF(Data_input!B44="","",Data_input!B44)</f>
        <v/>
      </c>
      <c r="C44" t="str">
        <f>IF(Data_input!C44="","",Data_input!C44)</f>
        <v/>
      </c>
      <c r="D44" t="str">
        <f>IF(OR(data_coll!R44="", data_coll!G44=""), "", _xlfn.DAYS(data_coll!R44, data_coll!G44))</f>
        <v/>
      </c>
      <c r="E44" t="str">
        <f>IF(OR(data_coll!T44="",data_coll!U44=""),"",data_coll!U44-data_coll!T44)</f>
        <v/>
      </c>
      <c r="F44" t="str">
        <f>IF(OR(data_coll!W44="", data_coll!G44=""), "", _xlfn.DAYS(data_coll!W44, data_coll!G44))</f>
        <v/>
      </c>
      <c r="G44" t="str">
        <f>IF(OR(data_coll!X44="", data_coll!G44=""), "", _xlfn.DAYS(data_coll!X44, data_coll!G44))</f>
        <v/>
      </c>
    </row>
    <row r="45" spans="1:7">
      <c r="A45" t="str">
        <f>IF(Data_input!A45="","",Data_input!A45)</f>
        <v/>
      </c>
      <c r="B45" t="str">
        <f>IF(Data_input!B45="","",Data_input!B45)</f>
        <v/>
      </c>
      <c r="C45" t="str">
        <f>IF(Data_input!C45="","",Data_input!C45)</f>
        <v/>
      </c>
      <c r="D45" t="str">
        <f>IF(OR(data_coll!R45="", data_coll!G45=""), "", _xlfn.DAYS(data_coll!R45, data_coll!G45))</f>
        <v/>
      </c>
      <c r="E45" t="str">
        <f>IF(OR(data_coll!T45="",data_coll!U45=""),"",data_coll!U45-data_coll!T45)</f>
        <v/>
      </c>
      <c r="F45" t="str">
        <f>IF(OR(data_coll!W45="", data_coll!G45=""), "", _xlfn.DAYS(data_coll!W45, data_coll!G45))</f>
        <v/>
      </c>
      <c r="G45" t="str">
        <f>IF(OR(data_coll!X45="", data_coll!G45=""), "", _xlfn.DAYS(data_coll!X45, data_coll!G45))</f>
        <v/>
      </c>
    </row>
    <row r="46" spans="1:7">
      <c r="A46" t="str">
        <f>IF(Data_input!A46="","",Data_input!A46)</f>
        <v/>
      </c>
      <c r="B46" t="str">
        <f>IF(Data_input!B46="","",Data_input!B46)</f>
        <v/>
      </c>
      <c r="C46" t="str">
        <f>IF(Data_input!C46="","",Data_input!C46)</f>
        <v/>
      </c>
      <c r="D46" t="str">
        <f>IF(OR(data_coll!R46="", data_coll!G46=""), "", _xlfn.DAYS(data_coll!R46, data_coll!G46))</f>
        <v/>
      </c>
      <c r="E46" t="str">
        <f>IF(OR(data_coll!T46="",data_coll!U46=""),"",data_coll!U46-data_coll!T46)</f>
        <v/>
      </c>
      <c r="F46" t="str">
        <f>IF(OR(data_coll!W46="", data_coll!G46=""), "", _xlfn.DAYS(data_coll!W46, data_coll!G46))</f>
        <v/>
      </c>
      <c r="G46" t="str">
        <f>IF(OR(data_coll!X46="", data_coll!G46=""), "", _xlfn.DAYS(data_coll!X46, data_coll!G46))</f>
        <v/>
      </c>
    </row>
    <row r="47" spans="1:7">
      <c r="A47" t="str">
        <f>IF(Data_input!A47="","",Data_input!A47)</f>
        <v/>
      </c>
      <c r="B47" t="str">
        <f>IF(Data_input!B47="","",Data_input!B47)</f>
        <v/>
      </c>
      <c r="C47" t="str">
        <f>IF(Data_input!C47="","",Data_input!C47)</f>
        <v/>
      </c>
      <c r="D47" t="str">
        <f>IF(OR(data_coll!R47="", data_coll!G47=""), "", _xlfn.DAYS(data_coll!R47, data_coll!G47))</f>
        <v/>
      </c>
      <c r="E47" t="str">
        <f>IF(OR(data_coll!T47="",data_coll!U47=""),"",data_coll!U47-data_coll!T47)</f>
        <v/>
      </c>
      <c r="F47" t="str">
        <f>IF(OR(data_coll!W47="", data_coll!G47=""), "", _xlfn.DAYS(data_coll!W47, data_coll!G47))</f>
        <v/>
      </c>
      <c r="G47" t="str">
        <f>IF(OR(data_coll!X47="", data_coll!G47=""), "", _xlfn.DAYS(data_coll!X47, data_coll!G47))</f>
        <v/>
      </c>
    </row>
    <row r="48" spans="1:7">
      <c r="A48" t="str">
        <f>IF(Data_input!A48="","",Data_input!A48)</f>
        <v/>
      </c>
      <c r="B48" t="str">
        <f>IF(Data_input!B48="","",Data_input!B48)</f>
        <v/>
      </c>
      <c r="C48" t="str">
        <f>IF(Data_input!C48="","",Data_input!C48)</f>
        <v/>
      </c>
      <c r="D48" t="str">
        <f>IF(OR(data_coll!R48="", data_coll!G48=""), "", _xlfn.DAYS(data_coll!R48, data_coll!G48))</f>
        <v/>
      </c>
      <c r="E48" t="str">
        <f>IF(OR(data_coll!T48="",data_coll!U48=""),"",data_coll!U48-data_coll!T48)</f>
        <v/>
      </c>
      <c r="F48" t="str">
        <f>IF(OR(data_coll!W48="", data_coll!G48=""), "", _xlfn.DAYS(data_coll!W48, data_coll!G48))</f>
        <v/>
      </c>
      <c r="G48" t="str">
        <f>IF(OR(data_coll!X48="", data_coll!G48=""), "", _xlfn.DAYS(data_coll!X48, data_coll!G48))</f>
        <v/>
      </c>
    </row>
    <row r="49" spans="1:7">
      <c r="A49" t="str">
        <f>IF(Data_input!A49="","",Data_input!A49)</f>
        <v/>
      </c>
      <c r="B49" t="str">
        <f>IF(Data_input!B49="","",Data_input!B49)</f>
        <v/>
      </c>
      <c r="C49" t="str">
        <f>IF(Data_input!C49="","",Data_input!C49)</f>
        <v/>
      </c>
      <c r="D49" t="str">
        <f>IF(OR(data_coll!R49="", data_coll!G49=""), "", _xlfn.DAYS(data_coll!R49, data_coll!G49))</f>
        <v/>
      </c>
      <c r="E49" t="str">
        <f>IF(OR(data_coll!T49="",data_coll!U49=""),"",data_coll!U49-data_coll!T49)</f>
        <v/>
      </c>
      <c r="F49" t="str">
        <f>IF(OR(data_coll!W49="", data_coll!G49=""), "", _xlfn.DAYS(data_coll!W49, data_coll!G49))</f>
        <v/>
      </c>
      <c r="G49" t="str">
        <f>IF(OR(data_coll!X49="", data_coll!G49=""), "", _xlfn.DAYS(data_coll!X49, data_coll!G49))</f>
        <v/>
      </c>
    </row>
    <row r="50" spans="1:7">
      <c r="A50" t="str">
        <f>IF(Data_input!A50="","",Data_input!A50)</f>
        <v/>
      </c>
      <c r="B50" t="str">
        <f>IF(Data_input!B50="","",Data_input!B50)</f>
        <v/>
      </c>
      <c r="C50" t="str">
        <f>IF(Data_input!C50="","",Data_input!C50)</f>
        <v/>
      </c>
      <c r="D50" t="str">
        <f>IF(OR(data_coll!R50="", data_coll!G50=""), "", _xlfn.DAYS(data_coll!R50, data_coll!G50))</f>
        <v/>
      </c>
      <c r="E50" t="str">
        <f>IF(OR(data_coll!T50="",data_coll!U50=""),"",data_coll!U50-data_coll!T50)</f>
        <v/>
      </c>
      <c r="F50" t="str">
        <f>IF(OR(data_coll!W50="", data_coll!G50=""), "", _xlfn.DAYS(data_coll!W50, data_coll!G50))</f>
        <v/>
      </c>
      <c r="G50" t="str">
        <f>IF(OR(data_coll!X50="", data_coll!G50=""), "", _xlfn.DAYS(data_coll!X50, data_coll!G50))</f>
        <v/>
      </c>
    </row>
    <row r="51" spans="1:7">
      <c r="A51" t="str">
        <f>IF(Data_input!A51="","",Data_input!A51)</f>
        <v/>
      </c>
      <c r="B51" t="str">
        <f>IF(Data_input!B51="","",Data_input!B51)</f>
        <v/>
      </c>
      <c r="C51" t="str">
        <f>IF(Data_input!C51="","",Data_input!C51)</f>
        <v/>
      </c>
      <c r="D51" t="str">
        <f>IF(OR(data_coll!R51="", data_coll!G51=""), "", _xlfn.DAYS(data_coll!R51, data_coll!G51))</f>
        <v/>
      </c>
      <c r="E51" t="str">
        <f>IF(OR(data_coll!T51="",data_coll!U51=""),"",data_coll!U51-data_coll!T51)</f>
        <v/>
      </c>
      <c r="F51" t="str">
        <f>IF(OR(data_coll!W51="", data_coll!G51=""), "", _xlfn.DAYS(data_coll!W51, data_coll!G51))</f>
        <v/>
      </c>
      <c r="G51" t="str">
        <f>IF(OR(data_coll!X51="", data_coll!G51=""), "", _xlfn.DAYS(data_coll!X51, data_coll!G51))</f>
        <v/>
      </c>
    </row>
    <row r="52" spans="1:7">
      <c r="A52" t="str">
        <f>IF(Data_input!A52="","",Data_input!A52)</f>
        <v/>
      </c>
      <c r="B52" t="str">
        <f>IF(Data_input!B52="","",Data_input!B52)</f>
        <v/>
      </c>
      <c r="C52" t="str">
        <f>IF(Data_input!C52="","",Data_input!C52)</f>
        <v/>
      </c>
      <c r="D52" t="str">
        <f>IF(OR(data_coll!R52="", data_coll!G52=""), "", _xlfn.DAYS(data_coll!R52, data_coll!G52))</f>
        <v/>
      </c>
      <c r="E52" t="str">
        <f>IF(OR(data_coll!T52="",data_coll!U52=""),"",data_coll!U52-data_coll!T52)</f>
        <v/>
      </c>
      <c r="F52" t="str">
        <f>IF(OR(data_coll!W52="", data_coll!G52=""), "", _xlfn.DAYS(data_coll!W52, data_coll!G52))</f>
        <v/>
      </c>
      <c r="G52" t="str">
        <f>IF(OR(data_coll!X52="", data_coll!G52=""), "", _xlfn.DAYS(data_coll!X52, data_coll!G52))</f>
        <v/>
      </c>
    </row>
    <row r="53" spans="1:7">
      <c r="A53" t="str">
        <f>IF(Data_input!A53="","",Data_input!A53)</f>
        <v/>
      </c>
      <c r="B53" t="str">
        <f>IF(Data_input!B53="","",Data_input!B53)</f>
        <v/>
      </c>
      <c r="C53" t="str">
        <f>IF(Data_input!C53="","",Data_input!C53)</f>
        <v/>
      </c>
      <c r="D53" t="str">
        <f>IF(OR(data_coll!R53="", data_coll!G53=""), "", _xlfn.DAYS(data_coll!R53, data_coll!G53))</f>
        <v/>
      </c>
      <c r="E53" t="str">
        <f>IF(OR(data_coll!T53="",data_coll!U53=""),"",data_coll!U53-data_coll!T53)</f>
        <v/>
      </c>
      <c r="F53" t="str">
        <f>IF(OR(data_coll!W53="", data_coll!G53=""), "", _xlfn.DAYS(data_coll!W53, data_coll!G53))</f>
        <v/>
      </c>
      <c r="G53" t="str">
        <f>IF(OR(data_coll!X53="", data_coll!G53=""), "", _xlfn.DAYS(data_coll!X53, data_coll!G53))</f>
        <v/>
      </c>
    </row>
    <row r="54" spans="1:7">
      <c r="A54" t="str">
        <f>IF(Data_input!A54="","",Data_input!A54)</f>
        <v/>
      </c>
      <c r="B54" t="str">
        <f>IF(Data_input!B54="","",Data_input!B54)</f>
        <v/>
      </c>
      <c r="C54" t="str">
        <f>IF(Data_input!C54="","",Data_input!C54)</f>
        <v/>
      </c>
      <c r="D54" t="str">
        <f>IF(OR(data_coll!R54="", data_coll!G54=""), "", _xlfn.DAYS(data_coll!R54, data_coll!G54))</f>
        <v/>
      </c>
      <c r="E54" t="str">
        <f>IF(OR(data_coll!T54="",data_coll!U54=""),"",data_coll!U54-data_coll!T54)</f>
        <v/>
      </c>
      <c r="F54" t="str">
        <f>IF(OR(data_coll!W54="", data_coll!G54=""), "", _xlfn.DAYS(data_coll!W54, data_coll!G54))</f>
        <v/>
      </c>
      <c r="G54" t="str">
        <f>IF(OR(data_coll!X54="", data_coll!G54=""), "", _xlfn.DAYS(data_coll!X54, data_coll!G54))</f>
        <v/>
      </c>
    </row>
    <row r="55" spans="1:7">
      <c r="A55" t="str">
        <f>IF(Data_input!A55="","",Data_input!A55)</f>
        <v/>
      </c>
      <c r="B55" t="str">
        <f>IF(Data_input!B55="","",Data_input!B55)</f>
        <v/>
      </c>
      <c r="C55" t="str">
        <f>IF(Data_input!C55="","",Data_input!C55)</f>
        <v/>
      </c>
      <c r="D55" t="str">
        <f>IF(OR(data_coll!R55="", data_coll!G55=""), "", _xlfn.DAYS(data_coll!R55, data_coll!G55))</f>
        <v/>
      </c>
      <c r="E55" t="str">
        <f>IF(OR(data_coll!T55="",data_coll!U55=""),"",data_coll!U55-data_coll!T55)</f>
        <v/>
      </c>
      <c r="F55" t="str">
        <f>IF(OR(data_coll!W55="", data_coll!G55=""), "", _xlfn.DAYS(data_coll!W55, data_coll!G55))</f>
        <v/>
      </c>
      <c r="G55" t="str">
        <f>IF(OR(data_coll!X55="", data_coll!G55=""), "", _xlfn.DAYS(data_coll!X55, data_coll!G55))</f>
        <v/>
      </c>
    </row>
    <row r="56" spans="1:7">
      <c r="A56" t="str">
        <f>IF(Data_input!A56="","",Data_input!A56)</f>
        <v/>
      </c>
      <c r="B56" t="str">
        <f>IF(Data_input!B56="","",Data_input!B56)</f>
        <v/>
      </c>
      <c r="C56" t="str">
        <f>IF(Data_input!C56="","",Data_input!C56)</f>
        <v/>
      </c>
      <c r="D56" t="str">
        <f>IF(OR(data_coll!R56="", data_coll!G56=""), "", _xlfn.DAYS(data_coll!R56, data_coll!G56))</f>
        <v/>
      </c>
      <c r="E56" t="str">
        <f>IF(OR(data_coll!T56="",data_coll!U56=""),"",data_coll!U56-data_coll!T56)</f>
        <v/>
      </c>
      <c r="F56" t="str">
        <f>IF(OR(data_coll!W56="", data_coll!G56=""), "", _xlfn.DAYS(data_coll!W56, data_coll!G56))</f>
        <v/>
      </c>
      <c r="G56" t="str">
        <f>IF(OR(data_coll!X56="", data_coll!G56=""), "", _xlfn.DAYS(data_coll!X56, data_coll!G56))</f>
        <v/>
      </c>
    </row>
    <row r="57" spans="1:7">
      <c r="A57" t="str">
        <f>IF(Data_input!A57="","",Data_input!A57)</f>
        <v/>
      </c>
      <c r="B57" t="str">
        <f>IF(Data_input!B57="","",Data_input!B57)</f>
        <v/>
      </c>
      <c r="C57" t="str">
        <f>IF(Data_input!C57="","",Data_input!C57)</f>
        <v/>
      </c>
      <c r="D57" t="str">
        <f>IF(OR(data_coll!R57="", data_coll!G57=""), "", _xlfn.DAYS(data_coll!R57, data_coll!G57))</f>
        <v/>
      </c>
      <c r="E57" t="str">
        <f>IF(OR(data_coll!T57="",data_coll!U57=""),"",data_coll!U57-data_coll!T57)</f>
        <v/>
      </c>
      <c r="F57" t="str">
        <f>IF(OR(data_coll!W57="", data_coll!G57=""), "", _xlfn.DAYS(data_coll!W57, data_coll!G57))</f>
        <v/>
      </c>
      <c r="G57" t="str">
        <f>IF(OR(data_coll!X57="", data_coll!G57=""), "", _xlfn.DAYS(data_coll!X57, data_coll!G57))</f>
        <v/>
      </c>
    </row>
    <row r="58" spans="1:7">
      <c r="A58" t="str">
        <f>IF(Data_input!A58="","",Data_input!A58)</f>
        <v/>
      </c>
      <c r="B58" t="str">
        <f>IF(Data_input!B58="","",Data_input!B58)</f>
        <v/>
      </c>
      <c r="C58" t="str">
        <f>IF(Data_input!C58="","",Data_input!C58)</f>
        <v/>
      </c>
      <c r="D58" t="str">
        <f>IF(OR(data_coll!R58="", data_coll!G58=""), "", _xlfn.DAYS(data_coll!R58, data_coll!G58))</f>
        <v/>
      </c>
      <c r="E58" t="str">
        <f>IF(OR(data_coll!T58="",data_coll!U58=""),"",data_coll!U58-data_coll!T58)</f>
        <v/>
      </c>
      <c r="F58" t="str">
        <f>IF(OR(data_coll!W58="", data_coll!G58=""), "", _xlfn.DAYS(data_coll!W58, data_coll!G58))</f>
        <v/>
      </c>
      <c r="G58" t="str">
        <f>IF(OR(data_coll!X58="", data_coll!G58=""), "", _xlfn.DAYS(data_coll!X58, data_coll!G58))</f>
        <v/>
      </c>
    </row>
    <row r="59" spans="1:7">
      <c r="A59" t="str">
        <f>IF(Data_input!A59="","",Data_input!A59)</f>
        <v/>
      </c>
      <c r="B59" t="str">
        <f>IF(Data_input!B59="","",Data_input!B59)</f>
        <v/>
      </c>
      <c r="C59" t="str">
        <f>IF(Data_input!C59="","",Data_input!C59)</f>
        <v/>
      </c>
      <c r="D59" t="str">
        <f>IF(OR(data_coll!R59="", data_coll!G59=""), "", _xlfn.DAYS(data_coll!R59, data_coll!G59))</f>
        <v/>
      </c>
      <c r="E59" t="str">
        <f>IF(OR(data_coll!T59="",data_coll!U59=""),"",data_coll!U59-data_coll!T59)</f>
        <v/>
      </c>
      <c r="F59" t="str">
        <f>IF(OR(data_coll!W59="", data_coll!G59=""), "", _xlfn.DAYS(data_coll!W59, data_coll!G59))</f>
        <v/>
      </c>
      <c r="G59" t="str">
        <f>IF(OR(data_coll!X59="", data_coll!G59=""), "", _xlfn.DAYS(data_coll!X59, data_coll!G59))</f>
        <v/>
      </c>
    </row>
    <row r="60" spans="1:7">
      <c r="A60" t="str">
        <f>IF(Data_input!A60="","",Data_input!A60)</f>
        <v/>
      </c>
      <c r="B60" t="str">
        <f>IF(Data_input!B60="","",Data_input!B60)</f>
        <v/>
      </c>
      <c r="C60" t="str">
        <f>IF(Data_input!C60="","",Data_input!C60)</f>
        <v/>
      </c>
      <c r="D60" t="str">
        <f>IF(OR(data_coll!R60="", data_coll!G60=""), "", _xlfn.DAYS(data_coll!R60, data_coll!G60))</f>
        <v/>
      </c>
      <c r="E60" t="str">
        <f>IF(OR(data_coll!T60="",data_coll!U60=""),"",data_coll!U60-data_coll!T60)</f>
        <v/>
      </c>
      <c r="F60" t="str">
        <f>IF(OR(data_coll!W60="", data_coll!G60=""), "", _xlfn.DAYS(data_coll!W60, data_coll!G60))</f>
        <v/>
      </c>
      <c r="G60" t="str">
        <f>IF(OR(data_coll!X60="", data_coll!G60=""), "", _xlfn.DAYS(data_coll!X60, data_coll!G60))</f>
        <v/>
      </c>
    </row>
    <row r="61" spans="1:7">
      <c r="A61" t="str">
        <f>IF(Data_input!A61="","",Data_input!A61)</f>
        <v/>
      </c>
    </row>
    <row r="62" spans="1:7">
      <c r="A62" t="str">
        <f>IF(Data_input!A62="","",Data_input!A62)</f>
        <v/>
      </c>
    </row>
    <row r="63" spans="1:7">
      <c r="A63" t="str">
        <f>IF(Data_input!A63="","",Data_input!A63)</f>
        <v/>
      </c>
    </row>
    <row r="64" spans="1:7">
      <c r="A64" t="str">
        <f>IF(Data_input!A64="","",Data_input!A64)</f>
        <v/>
      </c>
    </row>
    <row r="65" spans="1:1">
      <c r="A65" t="str">
        <f>IF(Data_input!A65="","",Data_input!A65)</f>
        <v/>
      </c>
    </row>
    <row r="66" spans="1:1">
      <c r="A66" t="str">
        <f>IF(Data_input!A66="","",Data_input!A66)</f>
        <v/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7319-9EF0-4EBD-884A-655DFB8A3D45}">
  <dimension ref="A1:I66"/>
  <sheetViews>
    <sheetView tabSelected="1" topLeftCell="C1" workbookViewId="0">
      <selection activeCell="H11" sqref="H11"/>
    </sheetView>
  </sheetViews>
  <sheetFormatPr defaultRowHeight="13.8"/>
  <cols>
    <col min="1" max="1" width="12.21875" customWidth="1"/>
    <col min="2" max="2" width="14" customWidth="1"/>
    <col min="3" max="3" width="33.5546875" customWidth="1"/>
    <col min="4" max="4" width="21.77734375" customWidth="1"/>
    <col min="5" max="5" width="21.6640625" customWidth="1"/>
    <col min="6" max="6" width="24.6640625" customWidth="1"/>
    <col min="7" max="7" width="45.6640625" customWidth="1"/>
    <col min="8" max="8" width="39.109375" customWidth="1"/>
    <col min="9" max="9" width="17.77734375" customWidth="1"/>
  </cols>
  <sheetData>
    <row r="1" spans="1:9">
      <c r="A1" t="s">
        <v>0</v>
      </c>
      <c r="B1" t="s">
        <v>1</v>
      </c>
      <c r="C1" t="s">
        <v>2</v>
      </c>
      <c r="D1" t="s">
        <v>12</v>
      </c>
      <c r="E1" t="s">
        <v>91</v>
      </c>
      <c r="F1" t="s">
        <v>92</v>
      </c>
      <c r="G1" t="s">
        <v>178</v>
      </c>
      <c r="H1" t="s">
        <v>177</v>
      </c>
      <c r="I1" t="s">
        <v>198</v>
      </c>
    </row>
    <row r="2" spans="1:9">
      <c r="A2" t="str">
        <f>IF(Data_input!A2="","",Data_input!A2)</f>
        <v>247R1</v>
      </c>
      <c r="B2" t="str">
        <f>IF(Data_input!B2="","",Data_input!B2)</f>
        <v>250PA247R8</v>
      </c>
      <c r="C2" t="str">
        <f>IF(Data_input!C2="","",Data_input!C2)</f>
        <v>USMAN YAU</v>
      </c>
      <c r="D2" t="str">
        <f>IF(Data_input!L2="","",Data_input!L2)</f>
        <v>Ph.D. (Eng)</v>
      </c>
      <c r="E2" t="str">
        <f>IF(Data_count!D2="", "",
   IF(Data_count!D2&lt;180, "Great",
      IF(Data_count!D2&lt;270, "Normal", "Bad")
   )
)</f>
        <v>Great</v>
      </c>
      <c r="F2" t="str">
        <f>IF(Data_count!E2="","",
IF(Data_count!E2&gt;=200,"Great",
IF(Data_count!E2&gt;0,"Normal","Bad")))</f>
        <v>Great</v>
      </c>
      <c r="G2" t="str">
        <f>IF(Data_count!F2="","",
IF(ISNUMBER(SEARCH("Ph.D",D2)),
   IF(Data_count!F2&lt;=540,"Great",
      IF(Data_count!F2&lt;=720,"Normal","Bad")),
   IF(Data_count!F2&lt;=210,"Great",
      IF(Data_count!F2&lt;=450,"Normal","Bad"))
))</f>
        <v>Great</v>
      </c>
      <c r="H2" t="str">
        <f>IF(Data_count!G2="","",
IF(ISNUMBER(SEARCH("Ph.D",D2)),
   IF(Data_count!G2&lt;=540,"Great",
      IF(Data_count!G2&lt;=720,"Normal","Bad")),
   IF(Data_count!G2&lt;=210,"Great",
      IF(Data_count!G2&lt;=450,"Normal","Bad"))
))</f>
        <v>Normal</v>
      </c>
      <c r="I2" t="str" cm="1">
        <f t="array" ref="I2">_xlfn.LET(
  _xlpm.r, E2:H2,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3" spans="1:9">
      <c r="A3" t="str">
        <f>IF(Data_input!A3="","",Data_input!A3)</f>
        <v>247R4</v>
      </c>
      <c r="B3" t="str">
        <f>IF(Data_input!B3="","",Data_input!B3)</f>
        <v>250PA247R1</v>
      </c>
      <c r="C3" t="str">
        <f>IF(Data_input!C3="","",Data_input!C3)</f>
        <v>KHAN IRFAN</v>
      </c>
      <c r="D3" t="str">
        <f>IF(Data_input!L3="","",Data_input!L3)</f>
        <v>Ph.D. (Eng)</v>
      </c>
      <c r="E3" t="str">
        <f>IF(Data_count!D3="", "",
   IF(Data_count!D3&lt;180, "Great",
      IF(Data_count!D3&lt;270, "Normal", "Bad")
   )
)</f>
        <v>Great</v>
      </c>
      <c r="F3" t="str">
        <f>IF(Data_count!E3="","",
IF(Data_count!E3&gt;=200,"Great",
IF(Data_count!E3&gt;0,"Normal","Bad")))</f>
        <v>Great</v>
      </c>
      <c r="G3" t="str">
        <f>IF(Data_count!F3="","",
IF(ISNUMBER(SEARCH("Ph.D",D3)),
   IF(Data_count!F3&lt;=540,"Great",
      IF(Data_count!F3&lt;=720,"Normal","Bad")),
   IF(Data_count!F3&lt;=210,"Great",
      IF(Data_count!F3&lt;=450,"Normal","Bad"))
))</f>
        <v>Great</v>
      </c>
      <c r="H3" t="str">
        <f>IF(Data_count!G3="","",
IF(ISNUMBER(SEARCH("Ph.D",D3)),
   IF(Data_count!G3&lt;=540,"Great",
      IF(Data_count!G3&lt;=720,"Normal","Bad")),
   IF(Data_count!G3&lt;=210,"Great",
      IF(Data_count!G3&lt;=450,"Normal","Bad"))
))</f>
        <v>Great</v>
      </c>
      <c r="I3" t="str" cm="1">
        <f t="array" ref="I3">_xlfn.LET(
  _xlpm.r, E3:H3,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4" spans="1:9">
      <c r="A4" t="str">
        <f>IF(Data_input!A4="","",Data_input!A4)</f>
        <v>247R8</v>
      </c>
      <c r="B4" t="str">
        <f>IF(Data_input!B4="","",Data_input!B4)</f>
        <v>250PA247R2</v>
      </c>
      <c r="C4" t="str">
        <f>IF(Data_input!C4="","",Data_input!C4)</f>
        <v>JAYAKANTHAN A/L M. LACHMANAN</v>
      </c>
      <c r="D4" t="str">
        <f>IF(Data_input!L4="","",Data_input!L4)</f>
        <v>Ph.D. (Eng)</v>
      </c>
      <c r="E4" t="str">
        <f>IF(Data_count!D4="", "",
   IF(Data_count!D4&lt;180, "Great",
      IF(Data_count!D4&lt;270, "Normal", "Bad")
   )
)</f>
        <v>Great</v>
      </c>
      <c r="F4" t="str">
        <f>IF(Data_count!E4="","",
IF(Data_count!E4&gt;=200,"Great",
IF(Data_count!E4&gt;0,"Normal","Bad")))</f>
        <v>Great</v>
      </c>
      <c r="G4" t="str">
        <f>IF(Data_count!F4="","",
IF(ISNUMBER(SEARCH("Ph.D",D4)),
   IF(Data_count!F4&lt;=540,"Great",
      IF(Data_count!F4&lt;=720,"Normal","Bad")),
   IF(Data_count!F4&lt;=210,"Great",
      IF(Data_count!F4&lt;=450,"Normal","Bad"))
))</f>
        <v>Great</v>
      </c>
      <c r="H4" t="str">
        <f>IF(Data_count!G4="","",
IF(ISNUMBER(SEARCH("Ph.D",D4)),
   IF(Data_count!G4&lt;=540,"Great",
      IF(Data_count!G4&lt;=720,"Normal","Bad")),
   IF(Data_count!G4&lt;=210,"Great",
      IF(Data_count!G4&lt;=450,"Normal","Bad"))
))</f>
        <v>Great</v>
      </c>
      <c r="I4" t="str" cm="1">
        <f t="array" ref="I4">_xlfn.LET(
  _xlpm.r, E4:H4,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5" spans="1:9">
      <c r="A5" t="str">
        <f>IF(Data_input!A5="","",Data_input!A5)</f>
        <v>247R3</v>
      </c>
      <c r="B5" t="str">
        <f>IF(Data_input!B5="","",Data_input!B5)</f>
        <v>250PA247R5</v>
      </c>
      <c r="C5" t="str">
        <f>IF(Data_input!C5="","",Data_input!C5)</f>
        <v>IDRIS OLALEKAN ADEOYE</v>
      </c>
      <c r="D5" t="str">
        <f>IF(Data_input!L5="","",Data_input!L5)</f>
        <v>Ph.D. (Eng)</v>
      </c>
      <c r="E5" t="str">
        <f>IF(Data_count!D5="", "",
   IF(Data_count!D5&lt;180, "Great",
      IF(Data_count!D5&lt;270, "Normal", "Bad")
   )
)</f>
        <v>Normal</v>
      </c>
      <c r="F5" t="str">
        <f>IF(Data_count!E5="","",
IF(Data_count!E5&gt;=200,"Great",
IF(Data_count!E5&gt;0,"Normal","Bad")))</f>
        <v>Normal</v>
      </c>
      <c r="G5" t="str">
        <f>IF(Data_count!F5="","",
IF(ISNUMBER(SEARCH("Ph.D",D5)),
   IF(Data_count!F5&lt;=540,"Great",
      IF(Data_count!F5&lt;=720,"Normal","Bad")),
   IF(Data_count!F5&lt;=210,"Great",
      IF(Data_count!F5&lt;=450,"Normal","Bad"))
))</f>
        <v>Normal</v>
      </c>
      <c r="H5" t="str">
        <f>IF(Data_count!G5="","",
IF(ISNUMBER(SEARCH("Ph.D",D5)),
   IF(Data_count!G5&lt;=540,"Great",
      IF(Data_count!G5&lt;=720,"Normal","Bad")),
   IF(Data_count!G5&lt;=210,"Great",
      IF(Data_count!G5&lt;=450,"Normal","Bad"))
))</f>
        <v>Normal</v>
      </c>
      <c r="I5" t="str" cm="1">
        <f t="array" ref="I5">_xlfn.LET(
  _xlpm.r, E5:H5,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6" spans="1:9">
      <c r="A6" t="str">
        <f>IF(Data_input!A6="","",Data_input!A6)</f>
        <v>247R7</v>
      </c>
      <c r="B6" t="str">
        <f>IF(Data_input!B6="","",Data_input!B6)</f>
        <v>250PA247R7</v>
      </c>
      <c r="C6" t="str">
        <f>IF(Data_input!C6="","",Data_input!C6)</f>
        <v>NUHU DAN-AZUMI MUHAMMAD</v>
      </c>
      <c r="D6" t="str">
        <f>IF(Data_input!L6="","",Data_input!L6)</f>
        <v>Ph.D. (Eng)</v>
      </c>
      <c r="E6" t="str">
        <f>IF(Data_count!D6="", "",
   IF(Data_count!D6&lt;180, "Great",
      IF(Data_count!D6&lt;270, "Normal", "Bad")
   )
)</f>
        <v>Normal</v>
      </c>
      <c r="F6" t="str">
        <f>IF(Data_count!E6="","",
IF(Data_count!E6&gt;=200,"Great",
IF(Data_count!E6&gt;0,"Normal","Bad")))</f>
        <v>Normal</v>
      </c>
      <c r="G6" t="str">
        <f>IF(Data_count!F6="","",
IF(ISNUMBER(SEARCH("Ph.D",D6)),
   IF(Data_count!F6&lt;=540,"Great",
      IF(Data_count!F6&lt;=720,"Normal","Bad")),
   IF(Data_count!F6&lt;=210,"Great",
      IF(Data_count!F6&lt;=450,"Normal","Bad"))
))</f>
        <v>Normal</v>
      </c>
      <c r="H6" t="str">
        <f>IF(Data_count!G6="","",
IF(ISNUMBER(SEARCH("Ph.D",D6)),
   IF(Data_count!G6&lt;=540,"Great",
      IF(Data_count!G6&lt;=720,"Normal","Bad")),
   IF(Data_count!G6&lt;=210,"Great",
      IF(Data_count!G6&lt;=450,"Normal","Bad"))
))</f>
        <v>Normal</v>
      </c>
      <c r="I6" t="str" cm="1">
        <f t="array" ref="I6">_xlfn.LET(
  _xlpm.r, E6:H6,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7" spans="1:9">
      <c r="A7" t="str">
        <f>IF(Data_input!A7="","",Data_input!A7)</f>
        <v>2508F</v>
      </c>
      <c r="B7" t="str">
        <f>IF(Data_input!B7="","",Data_input!B7)</f>
        <v>250PA257R3</v>
      </c>
      <c r="C7" t="str">
        <f>IF(Data_input!C7="","",Data_input!C7)</f>
        <v>NAZ ANUM</v>
      </c>
      <c r="D7" t="str">
        <f>IF(Data_input!L7="","",Data_input!L7)</f>
        <v>Ph.D. (Eng)</v>
      </c>
      <c r="E7" t="str">
        <f>IF(Data_count!D7="", "",
   IF(Data_count!D7&lt;180, "Great",
      IF(Data_count!D7&lt;270, "Normal", "Bad")
   )
)</f>
        <v>Normal</v>
      </c>
      <c r="F7" t="str">
        <f>IF(Data_count!E7="","",
IF(Data_count!E7&gt;=200,"Great",
IF(Data_count!E7&gt;0,"Normal","Bad")))</f>
        <v>Normal</v>
      </c>
      <c r="G7" t="str">
        <f>IF(Data_count!F7="","",
IF(ISNUMBER(SEARCH("Ph.D",D7)),
   IF(Data_count!F7&lt;=540,"Great",
      IF(Data_count!F7&lt;=720,"Normal","Bad")),
   IF(Data_count!F7&lt;=210,"Great",
      IF(Data_count!F7&lt;=450,"Normal","Bad"))
))</f>
        <v>Normal</v>
      </c>
      <c r="H7" t="str">
        <f>IF(Data_count!G7="","",
IF(ISNUMBER(SEARCH("Ph.D",D7)),
   IF(Data_count!G7&lt;=540,"Great",
      IF(Data_count!G7&lt;=720,"Normal","Bad")),
   IF(Data_count!G7&lt;=210,"Great",
      IF(Data_count!G7&lt;=450,"Normal","Bad"))
))</f>
        <v>Normal</v>
      </c>
      <c r="I7" t="str" cm="1">
        <f t="array" ref="I7">_xlfn.LET(
  _xlpm.r, E7:H7,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8" spans="1:9">
      <c r="A8" t="str">
        <f>IF(Data_input!A8="","",Data_input!A8)</f>
        <v>243YN</v>
      </c>
      <c r="B8" t="str">
        <f>IF(Data_input!B8="","",Data_input!B8)</f>
        <v>250PA237R1</v>
      </c>
      <c r="C8" t="str">
        <f>IF(Data_input!C8="","",Data_input!C8)</f>
        <v>NUR SYAZA BINTI ZAKARIA</v>
      </c>
      <c r="D8" t="str">
        <f>IF(Data_input!L8="","",Data_input!L8)</f>
        <v>Ph.D. (Eng)</v>
      </c>
      <c r="E8" t="str">
        <f>IF(Data_count!D8="", "",
   IF(Data_count!D8&lt;180, "Great",
      IF(Data_count!D8&lt;270, "Normal", "Bad")
   )
)</f>
        <v>Bad</v>
      </c>
      <c r="F8" t="str">
        <f>IF(Data_count!E8="","",
IF(Data_count!E8&gt;=200,"Great",
IF(Data_count!E8&gt;0,"Normal","Bad")))</f>
        <v>Bad</v>
      </c>
      <c r="G8" t="str">
        <f>IF(Data_count!F8="","",
IF(ISNUMBER(SEARCH("Ph.D",D8)),
   IF(Data_count!F8&lt;=540,"Great",
      IF(Data_count!F8&lt;=720,"Normal","Bad")),
   IF(Data_count!F8&lt;=210,"Great",
      IF(Data_count!F8&lt;=450,"Normal","Bad"))
))</f>
        <v>Bad</v>
      </c>
      <c r="H8" t="str">
        <f>IF(Data_count!G8="","",
IF(ISNUMBER(SEARCH("Ph.D",D8)),
   IF(Data_count!G8&lt;=540,"Great",
      IF(Data_count!G8&lt;=720,"Normal","Bad")),
   IF(Data_count!G8&lt;=210,"Great",
      IF(Data_count!G8&lt;=450,"Normal","Bad"))
))</f>
        <v>Bad</v>
      </c>
      <c r="I8" t="str" cm="1">
        <f t="array" ref="I8">_xlfn.LET(
  _xlpm.r, E8:H8,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9" spans="1:9">
      <c r="A9" t="str">
        <f>IF(Data_input!A9="","",Data_input!A9)</f>
        <v>251D4</v>
      </c>
      <c r="B9" t="str">
        <f>IF(Data_input!B9="","",Data_input!B9)</f>
        <v>250PK242QD</v>
      </c>
      <c r="C9" t="str">
        <f>IF(Data_input!C9="","",Data_input!C9)</f>
        <v>YANG XIAO</v>
      </c>
      <c r="D9" t="str">
        <f>IF(Data_input!L9="","",Data_input!L9)</f>
        <v>Ph.D. (Communication)</v>
      </c>
      <c r="E9" t="str">
        <f>IF(Data_count!D9="", "",
   IF(Data_count!D9&lt;180, "Great",
      IF(Data_count!D9&lt;270, "Normal", "Bad")
   )
)</f>
        <v>Bad</v>
      </c>
      <c r="F9" t="str">
        <f>IF(Data_count!E9="","",
IF(Data_count!E9&gt;=200,"Great",
IF(Data_count!E9&gt;0,"Normal","Bad")))</f>
        <v>Bad</v>
      </c>
      <c r="G9" t="str">
        <f>IF(Data_count!F9="","",
IF(ISNUMBER(SEARCH("Ph.D",D9)),
   IF(Data_count!F9&lt;=540,"Great",
      IF(Data_count!F9&lt;=720,"Normal","Bad")),
   IF(Data_count!F9&lt;=210,"Great",
      IF(Data_count!F9&lt;=450,"Normal","Bad"))
))</f>
        <v>Bad</v>
      </c>
      <c r="H9" t="str">
        <f>IF(Data_count!G9="","",
IF(ISNUMBER(SEARCH("Ph.D",D9)),
   IF(Data_count!G9&lt;=540,"Great",
      IF(Data_count!G9&lt;=720,"Normal","Bad")),
   IF(Data_count!G9&lt;=210,"Great",
      IF(Data_count!G9&lt;=450,"Normal","Bad"))
))</f>
        <v>Bad</v>
      </c>
      <c r="I9" t="str" cm="1">
        <f t="array" ref="I9">_xlfn.LET(
  _xlpm.r, E9:H9,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10" spans="1:9">
      <c r="A10" t="str">
        <f>IF(Data_input!A10="","",Data_input!A10)</f>
        <v>2458H</v>
      </c>
      <c r="B10" t="str">
        <f>IF(Data_input!B10="","",Data_input!B10)</f>
        <v>250PK232QD</v>
      </c>
      <c r="C10" t="str">
        <f>IF(Data_input!C10="","",Data_input!C10)</f>
        <v>MD MUSLIM UDDIN AHMED PIPUL</v>
      </c>
      <c r="D10" t="str">
        <f>IF(Data_input!L10="","",Data_input!L10)</f>
        <v>Ph.D. (Communication)</v>
      </c>
      <c r="E10" t="str">
        <f>IF(Data_count!D10="", "",
   IF(Data_count!D10&lt;180, "Great",
      IF(Data_count!D10&lt;270, "Normal", "Bad")
   )
)</f>
        <v>Bad</v>
      </c>
      <c r="F10" t="str">
        <f>IF(Data_count!E10="","",
IF(Data_count!E10&gt;=200,"Great",
IF(Data_count!E10&gt;0,"Normal","Bad")))</f>
        <v>Bad</v>
      </c>
      <c r="G10" t="str">
        <f>IF(Data_count!F10="","",
IF(ISNUMBER(SEARCH("Ph.D",D10)),
   IF(Data_count!F10&lt;=540,"Great",
      IF(Data_count!F10&lt;=720,"Normal","Bad")),
   IF(Data_count!F10&lt;=210,"Great",
      IF(Data_count!F10&lt;=450,"Normal","Bad"))
))</f>
        <v>Bad</v>
      </c>
      <c r="H10" t="str">
        <f>IF(Data_count!G10="","",
IF(ISNUMBER(SEARCH("Ph.D",D10)),
   IF(Data_count!G10&lt;=540,"Great",
      IF(Data_count!G10&lt;=720,"Normal","Bad")),
   IF(Data_count!G10&lt;=210,"Great",
      IF(Data_count!G10&lt;=450,"Normal","Bad"))
))</f>
        <v>Bad</v>
      </c>
      <c r="I10" t="str" cm="1">
        <f t="array" ref="I10">_xlfn.LET(
  _xlpm.r, E10:H10,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11" spans="1:9">
      <c r="A11" t="str">
        <f>IF(Data_input!A11="","",Data_input!A11)</f>
        <v>252QD</v>
      </c>
      <c r="B11" t="str">
        <f>IF(Data_input!B11="","",Data_input!B11)</f>
        <v>250PK222QD</v>
      </c>
      <c r="C11" t="str">
        <f>IF(Data_input!C11="","",Data_input!C11)</f>
        <v>JOANNA A/P JAYAPRAKASH</v>
      </c>
      <c r="D11" t="str">
        <f>IF(Data_input!L11="","",Data_input!L11)</f>
        <v>Ph.D. (Communication)</v>
      </c>
      <c r="E11" t="str">
        <f>IF(Data_count!D11="", "",
   IF(Data_count!D11&lt;180, "Great",
      IF(Data_count!D11&lt;270, "Normal", "Bad")
   )
)</f>
        <v>Bad</v>
      </c>
      <c r="F11" t="str">
        <f>IF(Data_count!E11="","",
IF(Data_count!E11&gt;=200,"Great",
IF(Data_count!E11&gt;0,"Normal","Bad")))</f>
        <v>Bad</v>
      </c>
      <c r="G11" t="str">
        <f>IF(Data_count!F11="","",
IF(ISNUMBER(SEARCH("Ph.D",D11)),
   IF(Data_count!F11&lt;=540,"Great",
      IF(Data_count!F11&lt;=720,"Normal","Bad")),
   IF(Data_count!F11&lt;=210,"Great",
      IF(Data_count!F11&lt;=450,"Normal","Bad"))
))</f>
        <v>Bad</v>
      </c>
      <c r="H11" t="str">
        <f>IF(Data_count!G11="","",
IF(ISNUMBER(SEARCH("Ph.D",D11)),
   IF(Data_count!G11&lt;=540,"Great",
      IF(Data_count!G11&lt;=720,"Normal","Bad")),
   IF(Data_count!G11&lt;=210,"Great",
      IF(Data_count!G11&lt;=450,"Normal","Bad"))
))</f>
        <v>Bad</v>
      </c>
      <c r="I11" t="str" cm="1">
        <f t="array" ref="I11">_xlfn.LET(
  _xlpm.r, E11:H11,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12" spans="1:9">
      <c r="A12" t="str">
        <f>IF(Data_input!A12="","",Data_input!A12)</f>
        <v>243YN</v>
      </c>
      <c r="B12" t="str">
        <f>IF(Data_input!B12="","",Data_input!B12)</f>
        <v>250PK212QD</v>
      </c>
      <c r="C12" t="str">
        <f>IF(Data_input!C12="","",Data_input!C12)</f>
        <v>HAMZA BASHER ALAMIN BARKA</v>
      </c>
      <c r="D12" t="str">
        <f>IF(Data_input!L12="","",Data_input!L12)</f>
        <v>Ph.D. (Communication)</v>
      </c>
      <c r="E12" t="str">
        <f>IF(Data_count!D12="", "",
   IF(Data_count!D12&lt;180, "Great",
      IF(Data_count!D12&lt;270, "Normal", "Bad")
   )
)</f>
        <v>Great</v>
      </c>
      <c r="F12" t="str">
        <f>IF(Data_count!E12="","",
IF(Data_count!E12&gt;=200,"Great",
IF(Data_count!E12&gt;0,"Normal","Bad")))</f>
        <v>Great</v>
      </c>
      <c r="G12" t="str">
        <f>IF(Data_count!F12="","",
IF(ISNUMBER(SEARCH("Ph.D",D12)),
   IF(Data_count!F12&lt;=540,"Great",
      IF(Data_count!F12&lt;=720,"Normal","Bad")),
   IF(Data_count!F12&lt;=210,"Great",
      IF(Data_count!F12&lt;=450,"Normal","Bad"))
))</f>
        <v>Great</v>
      </c>
      <c r="H12" t="str">
        <f>IF(Data_count!G12="","",
IF(ISNUMBER(SEARCH("Ph.D",D12)),
   IF(Data_count!G12&lt;=540,"Great",
      IF(Data_count!G12&lt;=720,"Normal","Bad")),
   IF(Data_count!G12&lt;=210,"Great",
      IF(Data_count!G12&lt;=450,"Normal","Bad"))
))</f>
        <v>Great</v>
      </c>
      <c r="I12" t="str" cm="1">
        <f t="array" ref="I12">_xlfn.LET(
  _xlpm.r, E12:H12,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13" spans="1:9">
      <c r="A13" t="str">
        <f>IF(Data_input!A13="","",Data_input!A13)</f>
        <v>247R7</v>
      </c>
      <c r="B13" t="str">
        <f>IF(Data_input!B13="","",Data_input!B13)</f>
        <v>250PK272QD</v>
      </c>
      <c r="C13" t="str">
        <f>IF(Data_input!C13="","",Data_input!C13)</f>
        <v>NAHIDA FERDOUS</v>
      </c>
      <c r="D13" t="str">
        <f>IF(Data_input!L13="","",Data_input!L13)</f>
        <v>Ph.D. (Communication)</v>
      </c>
      <c r="E13" t="str">
        <f>IF(Data_count!D13="", "",
   IF(Data_count!D13&lt;180, "Great",
      IF(Data_count!D13&lt;270, "Normal", "Bad")
   )
)</f>
        <v>Great</v>
      </c>
      <c r="F13" t="str">
        <f>IF(Data_count!E13="","",
IF(Data_count!E13&gt;=200,"Great",
IF(Data_count!E13&gt;0,"Normal","Bad")))</f>
        <v>Great</v>
      </c>
      <c r="G13" t="str">
        <f>IF(Data_count!F13="","",
IF(ISNUMBER(SEARCH("Ph.D",D13)),
   IF(Data_count!F13&lt;=540,"Great",
      IF(Data_count!F13&lt;=720,"Normal","Bad")),
   IF(Data_count!F13&lt;=210,"Great",
      IF(Data_count!F13&lt;=450,"Normal","Bad"))
))</f>
        <v>Great</v>
      </c>
      <c r="H13" t="str">
        <f>IF(Data_count!G13="","",
IF(ISNUMBER(SEARCH("Ph.D",D13)),
   IF(Data_count!G13&lt;=540,"Great",
      IF(Data_count!G13&lt;=720,"Normal","Bad")),
   IF(Data_count!G13&lt;=210,"Great",
      IF(Data_count!G13&lt;=450,"Normal","Bad"))
))</f>
        <v>Great</v>
      </c>
      <c r="I13" t="str" cm="1">
        <f t="array" ref="I13">_xlfn.LET(
  _xlpm.r, E13:H13,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14" spans="1:9">
      <c r="A14" t="str">
        <f>IF(Data_input!A14="","",Data_input!A14)</f>
        <v>2458H</v>
      </c>
      <c r="B14" t="str">
        <f>IF(Data_input!B14="","",Data_input!B14)</f>
        <v>250PK251QD</v>
      </c>
      <c r="C14" t="str">
        <f>IF(Data_input!C14="","",Data_input!C14)</f>
        <v>NAHIDA ANUM</v>
      </c>
      <c r="D14" t="str">
        <f>IF(Data_input!L14="","",Data_input!L14)</f>
        <v>Ph.D. (Communication)</v>
      </c>
      <c r="E14" t="str">
        <f>IF(Data_count!D14="", "",
   IF(Data_count!D14&lt;180, "Great",
      IF(Data_count!D14&lt;270, "Normal", "Bad")
   )
)</f>
        <v>Great</v>
      </c>
      <c r="F14" t="str">
        <f>IF(Data_count!E14="","",
IF(Data_count!E14&gt;=200,"Great",
IF(Data_count!E14&gt;0,"Normal","Bad")))</f>
        <v>Great</v>
      </c>
      <c r="G14" t="str">
        <f>IF(Data_count!F14="","",
IF(ISNUMBER(SEARCH("Ph.D",D14)),
   IF(Data_count!F14&lt;=540,"Great",
      IF(Data_count!F14&lt;=720,"Normal","Bad")),
   IF(Data_count!F14&lt;=210,"Great",
      IF(Data_count!F14&lt;=450,"Normal","Bad"))
))</f>
        <v>Great</v>
      </c>
      <c r="H14" t="str">
        <f>IF(Data_count!G14="","",
IF(ISNUMBER(SEARCH("Ph.D",D14)),
   IF(Data_count!G14&lt;=540,"Great",
      IF(Data_count!G14&lt;=720,"Normal","Bad")),
   IF(Data_count!G14&lt;=210,"Great",
      IF(Data_count!G14&lt;=450,"Normal","Bad"))
))</f>
        <v>Great</v>
      </c>
      <c r="I14" t="str" cm="1">
        <f t="array" ref="I14">_xlfn.LET(
  _xlpm.r, E14:H14,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15" spans="1:9">
      <c r="A15" t="str">
        <f>IF(Data_input!A15="","",Data_input!A15)</f>
        <v>245YK</v>
      </c>
      <c r="B15" t="str">
        <f>IF(Data_input!B15="","",Data_input!B15)</f>
        <v>250PB252PD</v>
      </c>
      <c r="C15" t="str">
        <f>IF(Data_input!C15="","",Data_input!C15)</f>
        <v>KHAN FERDOUS</v>
      </c>
      <c r="D15" t="str">
        <f>IF(Data_input!L15="","",Data_input!L15)</f>
        <v>Ph.D. (Mgmt.)</v>
      </c>
      <c r="E15" t="str">
        <f>IF(Data_count!D15="", "",
   IF(Data_count!D15&lt;180, "Great",
      IF(Data_count!D15&lt;270, "Normal", "Bad")
   )
)</f>
        <v>Normal</v>
      </c>
      <c r="F15" t="str">
        <f>IF(Data_count!E15="","",
IF(Data_count!E15&gt;=200,"Great",
IF(Data_count!E15&gt;0,"Normal","Bad")))</f>
        <v>Normal</v>
      </c>
      <c r="G15" t="str">
        <f>IF(Data_count!F15="","",
IF(ISNUMBER(SEARCH("Ph.D",D15)),
   IF(Data_count!F15&lt;=540,"Great",
      IF(Data_count!F15&lt;=720,"Normal","Bad")),
   IF(Data_count!F15&lt;=210,"Great",
      IF(Data_count!F15&lt;=450,"Normal","Bad"))
))</f>
        <v>Normal</v>
      </c>
      <c r="H15" t="str">
        <f>IF(Data_count!G15="","",
IF(ISNUMBER(SEARCH("Ph.D",D15)),
   IF(Data_count!G15&lt;=540,"Great",
      IF(Data_count!G15&lt;=720,"Normal","Bad")),
   IF(Data_count!G15&lt;=210,"Great",
      IF(Data_count!G15&lt;=450,"Normal","Bad"))
))</f>
        <v>Normal</v>
      </c>
      <c r="I15" t="str" cm="1">
        <f t="array" ref="I15">_xlfn.LET(
  _xlpm.r, E15:H15,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16" spans="1:9">
      <c r="A16" t="str">
        <f>IF(Data_input!A16="","",Data_input!A16)</f>
        <v>245ZK</v>
      </c>
      <c r="B16" t="str">
        <f>IF(Data_input!B16="","",Data_input!B16)</f>
        <v>250PB244PD</v>
      </c>
      <c r="C16" t="str">
        <f>IF(Data_input!C16="","",Data_input!C16)</f>
        <v>PUARA A/P LACHMANAN</v>
      </c>
      <c r="D16" t="str">
        <f>IF(Data_input!L16="","",Data_input!L16)</f>
        <v>Ph.D. (Mgmt.)</v>
      </c>
      <c r="E16" t="str">
        <f>IF(Data_count!D16="", "",
   IF(Data_count!D16&lt;180, "Great",
      IF(Data_count!D16&lt;270, "Normal", "Bad")
   )
)</f>
        <v>Normal</v>
      </c>
      <c r="F16" t="str">
        <f>IF(Data_count!E16="","",
IF(Data_count!E16&gt;=200,"Great",
IF(Data_count!E16&gt;0,"Normal","Bad")))</f>
        <v>Normal</v>
      </c>
      <c r="G16" t="str">
        <f>IF(Data_count!F16="","",
IF(ISNUMBER(SEARCH("Ph.D",D16)),
   IF(Data_count!F16&lt;=540,"Great",
      IF(Data_count!F16&lt;=720,"Normal","Bad")),
   IF(Data_count!F16&lt;=210,"Great",
      IF(Data_count!F16&lt;=450,"Normal","Bad"))
))</f>
        <v>Normal</v>
      </c>
      <c r="H16" t="str">
        <f>IF(Data_count!G16="","",
IF(ISNUMBER(SEARCH("Ph.D",D16)),
   IF(Data_count!G16&lt;=540,"Great",
      IF(Data_count!G16&lt;=720,"Normal","Bad")),
   IF(Data_count!G16&lt;=210,"Great",
      IF(Data_count!G16&lt;=450,"Normal","Bad"))
))</f>
        <v>Normal</v>
      </c>
      <c r="I16" t="str" cm="1">
        <f t="array" ref="I16">_xlfn.LET(
  _xlpm.r, E16:H16,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17" spans="1:9">
      <c r="A17" t="str">
        <f>IF(Data_input!A17="","",Data_input!A17)</f>
        <v>245RK</v>
      </c>
      <c r="B17" t="str">
        <f>IF(Data_input!B17="","",Data_input!B17)</f>
        <v>250PB258PD</v>
      </c>
      <c r="C17" t="str">
        <f>IF(Data_input!C17="","",Data_input!C17)</f>
        <v>YONG YU KIN</v>
      </c>
      <c r="D17" t="str">
        <f>IF(Data_input!L17="","",Data_input!L17)</f>
        <v>Ph.D. (Mgmt.)</v>
      </c>
      <c r="E17" t="str">
        <f>IF(Data_count!D17="", "",
   IF(Data_count!D17&lt;180, "Great",
      IF(Data_count!D17&lt;270, "Normal", "Bad")
   )
)</f>
        <v>Normal</v>
      </c>
      <c r="F17" t="str">
        <f>IF(Data_count!E17="","",
IF(Data_count!E17&gt;=200,"Great",
IF(Data_count!E17&gt;0,"Normal","Bad")))</f>
        <v>Normal</v>
      </c>
      <c r="G17" t="str">
        <f>IF(Data_count!F17="","",
IF(ISNUMBER(SEARCH("Ph.D",D17)),
   IF(Data_count!F17&lt;=540,"Great",
      IF(Data_count!F17&lt;=720,"Normal","Bad")),
   IF(Data_count!F17&lt;=210,"Great",
      IF(Data_count!F17&lt;=450,"Normal","Bad"))
))</f>
        <v>Normal</v>
      </c>
      <c r="H17" t="str">
        <f>IF(Data_count!G17="","",
IF(ISNUMBER(SEARCH("Ph.D",D17)),
   IF(Data_count!G17&lt;=540,"Great",
      IF(Data_count!G17&lt;=720,"Normal","Bad")),
   IF(Data_count!G17&lt;=210,"Great",
      IF(Data_count!G17&lt;=450,"Normal","Bad"))
))</f>
        <v>Normal</v>
      </c>
      <c r="I17" t="str" cm="1">
        <f t="array" ref="I17">_xlfn.LET(
  _xlpm.r, E17:H17,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18" spans="1:9">
      <c r="A18" t="str">
        <f>IF(Data_input!A18="","",Data_input!A18)</f>
        <v>247R7</v>
      </c>
      <c r="B18" t="str">
        <f>IF(Data_input!B18="","",Data_input!B18)</f>
        <v>250PB259PD</v>
      </c>
      <c r="C18" t="str">
        <f>IF(Data_input!C18="","",Data_input!C18)</f>
        <v>WONG KIN HUAT</v>
      </c>
      <c r="D18" t="str">
        <f>IF(Data_input!L18="","",Data_input!L18)</f>
        <v>Ph.D. (Mgmt.)</v>
      </c>
      <c r="E18" t="str">
        <f>IF(Data_count!D18="", "",
   IF(Data_count!D18&lt;180, "Great",
      IF(Data_count!D18&lt;270, "Normal", "Bad")
   )
)</f>
        <v>Bad</v>
      </c>
      <c r="F18" t="str">
        <f>IF(Data_count!E18="","",
IF(Data_count!E18&gt;=200,"Great",
IF(Data_count!E18&gt;0,"Normal","Bad")))</f>
        <v>Bad</v>
      </c>
      <c r="G18" t="str">
        <f>IF(Data_count!F18="","",
IF(ISNUMBER(SEARCH("Ph.D",D18)),
   IF(Data_count!F18&lt;=540,"Great",
      IF(Data_count!F18&lt;=720,"Normal","Bad")),
   IF(Data_count!F18&lt;=210,"Great",
      IF(Data_count!F18&lt;=450,"Normal","Bad"))
))</f>
        <v>Bad</v>
      </c>
      <c r="H18" t="str">
        <f>IF(Data_count!G18="","",
IF(ISNUMBER(SEARCH("Ph.D",D18)),
   IF(Data_count!G18&lt;=540,"Great",
      IF(Data_count!G18&lt;=720,"Normal","Bad")),
   IF(Data_count!G18&lt;=210,"Great",
      IF(Data_count!G18&lt;=450,"Normal","Bad"))
))</f>
        <v>Bad</v>
      </c>
      <c r="I18" t="str" cm="1">
        <f t="array" ref="I18">_xlfn.LET(
  _xlpm.r, E18:H18,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19" spans="1:9">
      <c r="A19" t="str">
        <f>IF(Data_input!A19="","",Data_input!A19)</f>
        <v>247R8</v>
      </c>
      <c r="B19" t="str">
        <f>IF(Data_input!B19="","",Data_input!B19)</f>
        <v>250PB260PD</v>
      </c>
      <c r="C19" t="str">
        <f>IF(Data_input!C19="","",Data_input!C19)</f>
        <v>WONG KANG JUN</v>
      </c>
      <c r="D19" t="str">
        <f>IF(Data_input!L19="","",Data_input!L19)</f>
        <v>Ph.D. (Mgmt.)</v>
      </c>
      <c r="E19" t="str">
        <f>IF(Data_count!D19="", "",
   IF(Data_count!D19&lt;180, "Great",
      IF(Data_count!D19&lt;270, "Normal", "Bad")
   )
)</f>
        <v>Bad</v>
      </c>
      <c r="F19" t="str">
        <f>IF(Data_count!E19="","",
IF(Data_count!E19&gt;=200,"Great",
IF(Data_count!E19&gt;0,"Normal","Bad")))</f>
        <v>Bad</v>
      </c>
      <c r="G19" t="str">
        <f>IF(Data_count!F19="","",
IF(ISNUMBER(SEARCH("Ph.D",D19)),
   IF(Data_count!F19&lt;=540,"Great",
      IF(Data_count!F19&lt;=720,"Normal","Bad")),
   IF(Data_count!F19&lt;=210,"Great",
      IF(Data_count!F19&lt;=450,"Normal","Bad"))
))</f>
        <v>Bad</v>
      </c>
      <c r="H19" t="str">
        <f>IF(Data_count!G19="","",
IF(ISNUMBER(SEARCH("Ph.D",D19)),
   IF(Data_count!G19&lt;=540,"Great",
      IF(Data_count!G19&lt;=720,"Normal","Bad")),
   IF(Data_count!G19&lt;=210,"Great",
      IF(Data_count!G19&lt;=450,"Normal","Bad"))
))</f>
        <v>Bad</v>
      </c>
      <c r="I19" t="str" cm="1">
        <f t="array" ref="I19">_xlfn.LET(
  _xlpm.r, E19:H19,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20" spans="1:9">
      <c r="A20" t="str">
        <f>IF(Data_input!A20="","",Data_input!A20)</f>
        <v>247R9</v>
      </c>
      <c r="B20" t="str">
        <f>IF(Data_input!B20="","",Data_input!B20)</f>
        <v>250PA213RK</v>
      </c>
      <c r="C20" t="str">
        <f>IF(Data_input!C20="","",Data_input!C20)</f>
        <v xml:space="preserve">AHMAD FAISAL BIN YUSOF  </v>
      </c>
      <c r="D20" t="str">
        <f>IF(Data_input!L20="","",Data_input!L20)</f>
        <v>Ph.D. (Mgmt.)</v>
      </c>
      <c r="E20" t="str">
        <f>IF(Data_count!D20="", "",
   IF(Data_count!D20&lt;180, "Great",
      IF(Data_count!D20&lt;270, "Normal", "Bad")
   )
)</f>
        <v>Bad</v>
      </c>
      <c r="F20" t="str">
        <f>IF(Data_count!E20="","",
IF(Data_count!E20&gt;=200,"Great",
IF(Data_count!E20&gt;0,"Normal","Bad")))</f>
        <v>Bad</v>
      </c>
      <c r="G20" t="str">
        <f>IF(Data_count!F20="","",
IF(ISNUMBER(SEARCH("Ph.D",D20)),
   IF(Data_count!F20&lt;=540,"Great",
      IF(Data_count!F20&lt;=720,"Normal","Bad")),
   IF(Data_count!F20&lt;=210,"Great",
      IF(Data_count!F20&lt;=450,"Normal","Bad"))
))</f>
        <v>Bad</v>
      </c>
      <c r="H20" t="str">
        <f>IF(Data_count!G20="","",
IF(ISNUMBER(SEARCH("Ph.D",D20)),
   IF(Data_count!G20&lt;=540,"Great",
      IF(Data_count!G20&lt;=720,"Normal","Bad")),
   IF(Data_count!G20&lt;=210,"Great",
      IF(Data_count!G20&lt;=450,"Normal","Bad"))
))</f>
        <v>Bad</v>
      </c>
      <c r="I20" t="str" cm="1">
        <f t="array" ref="I20">_xlfn.LET(
  _xlpm.r, E20:H20,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21" spans="1:9">
      <c r="A21" t="str">
        <f>IF(Data_input!A21="","",Data_input!A21)</f>
        <v>243A9</v>
      </c>
      <c r="B21" t="str">
        <f>IF(Data_input!B21="","",Data_input!B21)</f>
        <v>250PK245T1</v>
      </c>
      <c r="C21" t="str">
        <f>IF(Data_input!C21="","",Data_input!C21)</f>
        <v>HANG JIA YEE</v>
      </c>
      <c r="D21" t="str">
        <f>IF(Data_input!L21="","",Data_input!L21)</f>
        <v>Master (Mgmt)</v>
      </c>
      <c r="E21" t="str">
        <f>IF(Data_count!D21="", "",
   IF(Data_count!D21&lt;180, "Great",
      IF(Data_count!D21&lt;270, "Normal", "Bad")
   )
)</f>
        <v>Great</v>
      </c>
      <c r="F21" t="str">
        <f>IF(Data_count!E21="","",
IF(Data_count!E21&gt;=200,"Great",
IF(Data_count!E21&gt;0,"Normal","Bad")))</f>
        <v>Great</v>
      </c>
      <c r="G21" t="str">
        <f>IF(Data_count!F21="","",
IF(ISNUMBER(SEARCH("Ph.D",D21)),
   IF(Data_count!F21&lt;=540,"Great",
      IF(Data_count!F21&lt;=720,"Normal","Bad")),
   IF(Data_count!F21&lt;=210,"Great",
      IF(Data_count!F21&lt;=450,"Normal","Bad"))
))</f>
        <v>Great</v>
      </c>
      <c r="H21" t="str">
        <f>IF(Data_count!G21="","",
IF(ISNUMBER(SEARCH("Ph.D",D21)),
   IF(Data_count!G21&lt;=540,"Great",
      IF(Data_count!G21&lt;=720,"Normal","Bad")),
   IF(Data_count!G21&lt;=210,"Great",
      IF(Data_count!G21&lt;=450,"Normal","Bad"))
))</f>
        <v/>
      </c>
      <c r="I21" t="str" cm="1">
        <f t="array" ref="I21">_xlfn.LET(
  _xlpm.r, E21:H21,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22" spans="1:9">
      <c r="A22" t="str">
        <f>IF(Data_input!A22="","",Data_input!A22)</f>
        <v>248RK</v>
      </c>
      <c r="B22" t="str">
        <f>IF(Data_input!B22="","",Data_input!B22)</f>
        <v>250PH272RM</v>
      </c>
      <c r="C22" t="str">
        <f>IF(Data_input!C22="","",Data_input!C22)</f>
        <v xml:space="preserve">LEE KOK MING  </v>
      </c>
      <c r="D22" t="str">
        <f>IF(Data_input!L22="","",Data_input!L22)</f>
        <v>Master (Mgmt)</v>
      </c>
      <c r="E22" t="str">
        <f>IF(Data_count!D22="", "",
   IF(Data_count!D22&lt;180, "Great",
      IF(Data_count!D22&lt;270, "Normal", "Bad")
   )
)</f>
        <v>Great</v>
      </c>
      <c r="F22" t="str">
        <f>IF(Data_count!E22="","",
IF(Data_count!E22&gt;=200,"Great",
IF(Data_count!E22&gt;0,"Normal","Bad")))</f>
        <v>Great</v>
      </c>
      <c r="G22" t="str">
        <f>IF(Data_count!F22="","",
IF(ISNUMBER(SEARCH("Ph.D",D22)),
   IF(Data_count!F22&lt;=540,"Great",
      IF(Data_count!F22&lt;=720,"Normal","Bad")),
   IF(Data_count!F22&lt;=210,"Great",
      IF(Data_count!F22&lt;=450,"Normal","Bad"))
))</f>
        <v>Great</v>
      </c>
      <c r="H22" t="str">
        <f>IF(Data_count!G22="","",
IF(ISNUMBER(SEARCH("Ph.D",D22)),
   IF(Data_count!G22&lt;=540,"Great",
      IF(Data_count!G22&lt;=720,"Normal","Bad")),
   IF(Data_count!G22&lt;=210,"Great",
      IF(Data_count!G22&lt;=450,"Normal","Bad"))
))</f>
        <v/>
      </c>
      <c r="I22" t="str" cm="1">
        <f t="array" ref="I22">_xlfn.LET(
  _xlpm.r, E22:H22,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23" spans="1:9">
      <c r="A23" t="str">
        <f>IF(Data_input!A23="","",Data_input!A23)</f>
        <v>249YH</v>
      </c>
      <c r="B23" t="str">
        <f>IF(Data_input!B23="","",Data_input!B23)</f>
        <v>250PN281Q2</v>
      </c>
      <c r="C23" t="str">
        <f>IF(Data_input!C23="","",Data_input!C23)</f>
        <v>SITI NUR AIN BINTI RAHMAN</v>
      </c>
      <c r="D23" t="str">
        <f>IF(Data_input!L23="","",Data_input!L23)</f>
        <v>Master (Mgmt)</v>
      </c>
      <c r="E23" t="str">
        <f>IF(Data_count!D23="", "",
   IF(Data_count!D23&lt;180, "Great",
      IF(Data_count!D23&lt;270, "Normal", "Bad")
   )
)</f>
        <v>Great</v>
      </c>
      <c r="F23" t="str">
        <f>IF(Data_count!E23="","",
IF(Data_count!E23&gt;=200,"Great",
IF(Data_count!E23&gt;0,"Normal","Bad")))</f>
        <v>Great</v>
      </c>
      <c r="G23" t="str">
        <f>IF(Data_count!F23="","",
IF(ISNUMBER(SEARCH("Ph.D",D23)),
   IF(Data_count!F23&lt;=540,"Great",
      IF(Data_count!F23&lt;=720,"Normal","Bad")),
   IF(Data_count!F23&lt;=210,"Great",
      IF(Data_count!F23&lt;=450,"Normal","Bad"))
))</f>
        <v>Great</v>
      </c>
      <c r="H23" t="str">
        <f>IF(Data_count!G23="","",
IF(ISNUMBER(SEARCH("Ph.D",D23)),
   IF(Data_count!G23&lt;=540,"Great",
      IF(Data_count!G23&lt;=720,"Normal","Bad")),
   IF(Data_count!G23&lt;=210,"Great",
      IF(Data_count!G23&lt;=450,"Normal","Bad"))
))</f>
        <v/>
      </c>
      <c r="I23" t="str" cm="1">
        <f t="array" ref="I23">_xlfn.LET(
  _xlpm.r, E23:H23,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24" spans="1:9">
      <c r="A24" t="str">
        <f>IF(Data_input!A24="","",Data_input!A24)</f>
        <v>2468Z</v>
      </c>
      <c r="B24" t="str">
        <f>IF(Data_input!B24="","",Data_input!B24)</f>
        <v>250PM269QD</v>
      </c>
      <c r="C24" t="str">
        <f>IF(Data_input!C24="","",Data_input!C24)</f>
        <v xml:space="preserve">RAHUL KUMAR SINGH  </v>
      </c>
      <c r="D24" t="str">
        <f>IF(Data_input!L24="","",Data_input!L24)</f>
        <v>Master (Mgmt)</v>
      </c>
      <c r="E24" t="str">
        <f>IF(Data_count!D24="", "",
   IF(Data_count!D24&lt;180, "Great",
      IF(Data_count!D24&lt;270, "Normal", "Bad")
   )
)</f>
        <v>Normal</v>
      </c>
      <c r="F24" t="str">
        <f>IF(Data_count!E24="","",
IF(Data_count!E24&gt;=200,"Great",
IF(Data_count!E24&gt;0,"Normal","Bad")))</f>
        <v>Normal</v>
      </c>
      <c r="G24" t="str">
        <f>IF(Data_count!F24="","",
IF(ISNUMBER(SEARCH("Ph.D",D24)),
   IF(Data_count!F24&lt;=540,"Great",
      IF(Data_count!F24&lt;=720,"Normal","Bad")),
   IF(Data_count!F24&lt;=210,"Great",
      IF(Data_count!F24&lt;=450,"Normal","Bad"))
))</f>
        <v>Normal</v>
      </c>
      <c r="H24" t="str">
        <f>IF(Data_count!G24="","",
IF(ISNUMBER(SEARCH("Ph.D",D24)),
   IF(Data_count!G24&lt;=540,"Great",
      IF(Data_count!G24&lt;=720,"Normal","Bad")),
   IF(Data_count!G24&lt;=210,"Great",
      IF(Data_count!G24&lt;=450,"Normal","Bad"))
))</f>
        <v/>
      </c>
      <c r="I24" t="str" cm="1">
        <f t="array" ref="I24">_xlfn.LET(
  _xlpm.r, E24:H24,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25" spans="1:9">
      <c r="A25" t="str">
        <f>IF(Data_input!A25="","",Data_input!A25)</f>
        <v>247JK</v>
      </c>
      <c r="B25" t="str">
        <f>IF(Data_input!B25="","",Data_input!B25)</f>
        <v>250PJ258RD</v>
      </c>
      <c r="C25" t="str">
        <f>IF(Data_input!C25="","",Data_input!C25)</f>
        <v xml:space="preserve">CHAN WEI HONG  </v>
      </c>
      <c r="D25" t="str">
        <f>IF(Data_input!L25="","",Data_input!L25)</f>
        <v>Master (Law)</v>
      </c>
      <c r="E25" t="str">
        <f>IF(Data_count!D25="", "",
   IF(Data_count!D25&lt;180, "Great",
      IF(Data_count!D25&lt;270, "Normal", "Bad")
   )
)</f>
        <v>Great</v>
      </c>
      <c r="F25" t="str">
        <f>IF(Data_count!E25="","",
IF(Data_count!E25&gt;=200,"Great",
IF(Data_count!E25&gt;0,"Normal","Bad")))</f>
        <v>Normal</v>
      </c>
      <c r="G25" t="str">
        <f>IF(Data_count!F25="","",
IF(ISNUMBER(SEARCH("Ph.D",D25)),
   IF(Data_count!F25&lt;=540,"Great",
      IF(Data_count!F25&lt;=720,"Normal","Bad")),
   IF(Data_count!F25&lt;=210,"Great",
      IF(Data_count!F25&lt;=450,"Normal","Bad"))
))</f>
        <v>Normal</v>
      </c>
      <c r="H25" t="str">
        <f>IF(Data_count!G25="","",
IF(ISNUMBER(SEARCH("Ph.D",D25)),
   IF(Data_count!G25&lt;=540,"Great",
      IF(Data_count!G25&lt;=720,"Normal","Bad")),
   IF(Data_count!G25&lt;=210,"Great",
      IF(Data_count!G25&lt;=450,"Normal","Bad"))
))</f>
        <v/>
      </c>
      <c r="I25" t="str" cm="1">
        <f t="array" ref="I25">_xlfn.LET(
  _xlpm.r, E25:H25,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26" spans="1:9">
      <c r="A26" t="str">
        <f>IF(Data_input!A26="","",Data_input!A26)</f>
        <v>245PL</v>
      </c>
      <c r="B26" t="str">
        <f>IF(Data_input!B26="","",Data_input!B26)</f>
        <v>250PL293T1</v>
      </c>
      <c r="C26" t="str">
        <f>IF(Data_input!C26="","",Data_input!C26)</f>
        <v xml:space="preserve">NURUL HUDA BINTI AZIZ  </v>
      </c>
      <c r="D26" t="str">
        <f>IF(Data_input!L26="","",Data_input!L26)</f>
        <v>Master (Law)</v>
      </c>
      <c r="E26" t="str">
        <f>IF(Data_count!D26="", "",
   IF(Data_count!D26&lt;180, "Great",
      IF(Data_count!D26&lt;270, "Normal", "Bad")
   )
)</f>
        <v>Normal</v>
      </c>
      <c r="F26" t="str">
        <f>IF(Data_count!E26="","",
IF(Data_count!E26&gt;=200,"Great",
IF(Data_count!E26&gt;0,"Normal","Bad")))</f>
        <v>Normal</v>
      </c>
      <c r="G26" t="str">
        <f>IF(Data_count!F26="","",
IF(ISNUMBER(SEARCH("Ph.D",D26)),
   IF(Data_count!F26&lt;=540,"Great",
      IF(Data_count!F26&lt;=720,"Normal","Bad")),
   IF(Data_count!F26&lt;=210,"Great",
      IF(Data_count!F26&lt;=450,"Normal","Bad"))
))</f>
        <v>Normal</v>
      </c>
      <c r="H26" t="str">
        <f>IF(Data_count!G26="","",
IF(ISNUMBER(SEARCH("Ph.D",D26)),
   IF(Data_count!G26&lt;=540,"Great",
      IF(Data_count!G26&lt;=720,"Normal","Bad")),
   IF(Data_count!G26&lt;=210,"Great",
      IF(Data_count!G26&lt;=450,"Normal","Bad"))
))</f>
        <v/>
      </c>
      <c r="I26" t="str" cm="1">
        <f t="array" ref="I26">_xlfn.LET(
  _xlpm.r, E26:H26,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27" spans="1:9">
      <c r="A27" t="str">
        <f>IF(Data_input!A27="","",Data_input!A27)</f>
        <v>244XM</v>
      </c>
      <c r="B27" t="str">
        <f>IF(Data_input!B27="","",Data_input!B27)</f>
        <v>250PR241PD</v>
      </c>
      <c r="C27" t="str">
        <f>IF(Data_input!C27="","",Data_input!C27)</f>
        <v xml:space="preserve">MOHAMMAD ALI KHAN </v>
      </c>
      <c r="D27" t="str">
        <f>IF(Data_input!L27="","",Data_input!L27)</f>
        <v>Master (Law)</v>
      </c>
      <c r="E27" t="str">
        <f>IF(Data_count!D27="", "",
   IF(Data_count!D27&lt;180, "Great",
      IF(Data_count!D27&lt;270, "Normal", "Bad")
   )
)</f>
        <v>Bad</v>
      </c>
      <c r="F27" t="str">
        <f>IF(Data_count!E27="","",
IF(Data_count!E27&gt;=200,"Great",
IF(Data_count!E27&gt;0,"Normal","Bad")))</f>
        <v>Bad</v>
      </c>
      <c r="G27" t="str">
        <f>IF(Data_count!F27="","",
IF(ISNUMBER(SEARCH("Ph.D",D27)),
   IF(Data_count!F27&lt;=540,"Great",
      IF(Data_count!F27&lt;=720,"Normal","Bad")),
   IF(Data_count!F27&lt;=210,"Great",
      IF(Data_count!F27&lt;=450,"Normal","Bad"))
))</f>
        <v>Bad</v>
      </c>
      <c r="H27" t="str">
        <f>IF(Data_count!G27="","",
IF(ISNUMBER(SEARCH("Ph.D",D27)),
   IF(Data_count!G27&lt;=540,"Great",
      IF(Data_count!G27&lt;=720,"Normal","Bad")),
   IF(Data_count!G27&lt;=210,"Great",
      IF(Data_count!G27&lt;=450,"Normal","Bad"))
))</f>
        <v/>
      </c>
      <c r="I27" t="str" cm="1">
        <f t="array" ref="I27">_xlfn.LET(
  _xlpm.r, E27:H27,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28" spans="1:9">
      <c r="A28" t="str">
        <f>IF(Data_input!A28="","",Data_input!A28)</f>
        <v>2495N</v>
      </c>
      <c r="B28" t="str">
        <f>IF(Data_input!B28="","",Data_input!B28)</f>
        <v>250PB237QK</v>
      </c>
      <c r="C28" t="str">
        <f>IF(Data_input!C28="","",Data_input!C28)</f>
        <v xml:space="preserve">TAN JIA WEI  </v>
      </c>
      <c r="D28" t="str">
        <f>IF(Data_input!L28="","",Data_input!L28)</f>
        <v>Master (Law)</v>
      </c>
      <c r="E28" t="str">
        <f>IF(Data_count!D28="", "",
   IF(Data_count!D28&lt;180, "Great",
      IF(Data_count!D28&lt;270, "Normal", "Bad")
   )
)</f>
        <v>Bad</v>
      </c>
      <c r="F28" t="str">
        <f>IF(Data_count!E28="","",
IF(Data_count!E28&gt;=200,"Great",
IF(Data_count!E28&gt;0,"Normal","Bad")))</f>
        <v>Bad</v>
      </c>
      <c r="G28" t="str">
        <f>IF(Data_count!F28="","",
IF(ISNUMBER(SEARCH("Ph.D",D28)),
   IF(Data_count!F28&lt;=540,"Great",
      IF(Data_count!F28&lt;=720,"Normal","Bad")),
   IF(Data_count!F28&lt;=210,"Great",
      IF(Data_count!F28&lt;=450,"Normal","Bad"))
))</f>
        <v>Bad</v>
      </c>
      <c r="H28" t="str">
        <f>IF(Data_count!G28="","",
IF(ISNUMBER(SEARCH("Ph.D",D28)),
   IF(Data_count!G28&lt;=540,"Great",
      IF(Data_count!G28&lt;=720,"Normal","Bad")),
   IF(Data_count!G28&lt;=210,"Great",
      IF(Data_count!G28&lt;=450,"Normal","Bad"))
))</f>
        <v/>
      </c>
      <c r="I28" t="str" cm="1">
        <f t="array" ref="I28">_xlfn.LET(
  _xlpm.r, E28:H28,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29" spans="1:9">
      <c r="A29" t="str">
        <f>IF(Data_input!A29="","",Data_input!A29)</f>
        <v>246ZP</v>
      </c>
      <c r="B29" t="str">
        <f>IF(Data_input!B29="","",Data_input!B29)</f>
        <v>250PC276R2</v>
      </c>
      <c r="C29" t="str">
        <f>IF(Data_input!C29="","",Data_input!C29)</f>
        <v xml:space="preserve">FARHAN BIN ISMAIL  </v>
      </c>
      <c r="D29" t="str">
        <f>IF(Data_input!L29="","",Data_input!L29)</f>
        <v>Master (Law)</v>
      </c>
      <c r="E29" t="str">
        <f>IF(Data_count!D29="", "",
   IF(Data_count!D29&lt;180, "Great",
      IF(Data_count!D29&lt;270, "Normal", "Bad")
   )
)</f>
        <v>Bad</v>
      </c>
      <c r="F29" t="str">
        <f>IF(Data_count!E29="","",
IF(Data_count!E29&gt;=200,"Great",
IF(Data_count!E29&gt;0,"Normal","Bad")))</f>
        <v>Bad</v>
      </c>
      <c r="G29" t="str">
        <f>IF(Data_count!F29="","",
IF(ISNUMBER(SEARCH("Ph.D",D29)),
   IF(Data_count!F29&lt;=540,"Great",
      IF(Data_count!F29&lt;=720,"Normal","Bad")),
   IF(Data_count!F29&lt;=210,"Great",
      IF(Data_count!F29&lt;=450,"Normal","Bad"))
))</f>
        <v>Bad</v>
      </c>
      <c r="H29" t="str">
        <f>IF(Data_count!G29="","",
IF(ISNUMBER(SEARCH("Ph.D",D29)),
   IF(Data_count!G29&lt;=540,"Great",
      IF(Data_count!G29&lt;=720,"Normal","Bad")),
   IF(Data_count!G29&lt;=210,"Great",
      IF(Data_count!G29&lt;=450,"Normal","Bad"))
))</f>
        <v/>
      </c>
      <c r="I29" t="str" cm="1">
        <f t="array" ref="I29">_xlfn.LET(
  _xlpm.r, E29:H29,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30" spans="1:9">
      <c r="A30" t="str">
        <f>IF(Data_input!A30="","",Data_input!A30)</f>
        <v>247QR</v>
      </c>
      <c r="B30" t="str">
        <f>IF(Data_input!B30="","",Data_input!B30)</f>
        <v>250PE261RJ</v>
      </c>
      <c r="C30" t="str">
        <f>IF(Data_input!C30="","",Data_input!C30)</f>
        <v>LIM PEI YEE</v>
      </c>
      <c r="D30" t="str">
        <f>IF(Data_input!L30="","",Data_input!L30)</f>
        <v>Master (Mgmt)</v>
      </c>
      <c r="E30" t="str">
        <f>IF(Data_count!D30="", "",
   IF(Data_count!D30&lt;180, "Great",
      IF(Data_count!D30&lt;270, "Normal", "Bad")
   )
)</f>
        <v>Bad</v>
      </c>
      <c r="F30" t="str">
        <f>IF(Data_count!E30="","",
IF(Data_count!E30&gt;=200,"Great",
IF(Data_count!E30&gt;0,"Normal","Bad")))</f>
        <v>Bad</v>
      </c>
      <c r="G30" t="str">
        <f>IF(Data_count!F30="","",
IF(ISNUMBER(SEARCH("Ph.D",D30)),
   IF(Data_count!F30&lt;=540,"Great",
      IF(Data_count!F30&lt;=720,"Normal","Bad")),
   IF(Data_count!F30&lt;=210,"Great",
      IF(Data_count!F30&lt;=450,"Normal","Bad"))
))</f>
        <v>Bad</v>
      </c>
      <c r="H30" t="str">
        <f>IF(Data_count!G30="","",
IF(ISNUMBER(SEARCH("Ph.D",D30)),
   IF(Data_count!G30&lt;=540,"Great",
      IF(Data_count!G30&lt;=720,"Normal","Bad")),
   IF(Data_count!G30&lt;=210,"Great",
      IF(Data_count!G30&lt;=450,"Normal","Bad"))
))</f>
        <v/>
      </c>
      <c r="I30" t="str" cm="1">
        <f t="array" ref="I30">_xlfn.LET(
  _xlpm.r, E30:H30,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31" spans="1:9">
      <c r="A31" t="str">
        <f>IF(Data_input!A31="","",Data_input!A31)</f>
        <v>248R7</v>
      </c>
      <c r="B31" t="str">
        <f>IF(Data_input!B31="","",Data_input!B31)</f>
        <v>250PG248PD</v>
      </c>
      <c r="C31" t="str">
        <f>IF(Data_input!C31="","",Data_input!C31)</f>
        <v xml:space="preserve">RAJESH PRASAD  </v>
      </c>
      <c r="D31" t="str">
        <f>IF(Data_input!L31="","",Data_input!L31)</f>
        <v>Master (Mgmt)</v>
      </c>
      <c r="E31" t="str">
        <f>IF(Data_count!D31="", "",
   IF(Data_count!D31&lt;180, "Great",
      IF(Data_count!D31&lt;270, "Normal", "Bad")
   )
)</f>
        <v>Great</v>
      </c>
      <c r="F31" t="str">
        <f>IF(Data_count!E31="","",
IF(Data_count!E31&gt;=200,"Great",
IF(Data_count!E31&gt;0,"Normal","Bad")))</f>
        <v>Great</v>
      </c>
      <c r="G31" t="str">
        <f>IF(Data_count!F31="","",
IF(ISNUMBER(SEARCH("Ph.D",D31)),
   IF(Data_count!F31&lt;=540,"Great",
      IF(Data_count!F31&lt;=720,"Normal","Bad")),
   IF(Data_count!F31&lt;=210,"Great",
      IF(Data_count!F31&lt;=450,"Normal","Bad"))
))</f>
        <v>Great</v>
      </c>
      <c r="H31" t="str">
        <f>IF(Data_count!G31="","",
IF(ISNUMBER(SEARCH("Ph.D",D31)),
   IF(Data_count!G31&lt;=540,"Great",
      IF(Data_count!G31&lt;=720,"Normal","Bad")),
   IF(Data_count!G31&lt;=210,"Great",
      IF(Data_count!G31&lt;=450,"Normal","Bad"))
))</f>
        <v/>
      </c>
      <c r="I31" t="str" cm="1">
        <f t="array" ref="I31">_xlfn.LET(
  _xlpm.r, E31:H31,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32" spans="1:9">
      <c r="A32" t="str">
        <f>IF(Data_input!A32="","",Data_input!A32)</f>
        <v>2458T</v>
      </c>
      <c r="B32" t="str">
        <f>IF(Data_input!B32="","",Data_input!B32)</f>
        <v>250PH234RM</v>
      </c>
      <c r="C32" t="str">
        <f>IF(Data_input!C32="","",Data_input!C32)</f>
        <v xml:space="preserve">GOH MUN KIT  </v>
      </c>
      <c r="D32" t="str">
        <f>IF(Data_input!L32="","",Data_input!L32)</f>
        <v>Master (Mgmt)</v>
      </c>
      <c r="E32" t="str">
        <f>IF(Data_count!D32="", "",
   IF(Data_count!D32&lt;180, "Great",
      IF(Data_count!D32&lt;270, "Normal", "Bad")
   )
)</f>
        <v>Great</v>
      </c>
      <c r="F32" t="str">
        <f>IF(Data_count!E32="","",
IF(Data_count!E32&gt;=200,"Great",
IF(Data_count!E32&gt;0,"Normal","Bad")))</f>
        <v>Normal</v>
      </c>
      <c r="G32" t="str">
        <f>IF(Data_count!F32="","",
IF(ISNUMBER(SEARCH("Ph.D",D32)),
   IF(Data_count!F32&lt;=540,"Great",
      IF(Data_count!F32&lt;=720,"Normal","Bad")),
   IF(Data_count!F32&lt;=210,"Great",
      IF(Data_count!F32&lt;=450,"Normal","Bad"))
))</f>
        <v>Great</v>
      </c>
      <c r="H32" t="str">
        <f>IF(Data_count!G32="","",
IF(ISNUMBER(SEARCH("Ph.D",D32)),
   IF(Data_count!G32&lt;=540,"Great",
      IF(Data_count!G32&lt;=720,"Normal","Bad")),
   IF(Data_count!G32&lt;=210,"Great",
      IF(Data_count!G32&lt;=450,"Normal","Bad"))
))</f>
        <v/>
      </c>
      <c r="I32" t="str" cm="1">
        <f t="array" ref="I32">_xlfn.LET(
  _xlpm.r, E32:H32,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33" spans="1:9">
      <c r="A33" t="str">
        <f>IF(Data_input!A33="","",Data_input!A33)</f>
        <v>2465K</v>
      </c>
      <c r="B33" t="str">
        <f>IF(Data_input!B33="","",Data_input!B33)</f>
        <v>250PJ285Q1</v>
      </c>
      <c r="C33" t="str">
        <f>IF(Data_input!C33="","",Data_input!C33)</f>
        <v xml:space="preserve">AISHA BINTI HASSAN  </v>
      </c>
      <c r="D33" t="str">
        <f>IF(Data_input!L33="","",Data_input!L33)</f>
        <v>Master (Mgmt)</v>
      </c>
      <c r="E33" t="str">
        <f>IF(Data_count!D33="", "",
   IF(Data_count!D33&lt;180, "Great",
      IF(Data_count!D33&lt;270, "Normal", "Bad")
   )
)</f>
        <v>Great</v>
      </c>
      <c r="F33" t="str">
        <f>IF(Data_count!E33="","",
IF(Data_count!E33&gt;=200,"Great",
IF(Data_count!E33&gt;0,"Normal","Bad")))</f>
        <v>Great</v>
      </c>
      <c r="G33" t="str">
        <f>IF(Data_count!F33="","",
IF(ISNUMBER(SEARCH("Ph.D",D33)),
   IF(Data_count!F33&lt;=540,"Great",
      IF(Data_count!F33&lt;=720,"Normal","Bad")),
   IF(Data_count!F33&lt;=210,"Great",
      IF(Data_count!F33&lt;=450,"Normal","Bad"))
))</f>
        <v>Great</v>
      </c>
      <c r="H33" t="str">
        <f>IF(Data_count!G33="","",
IF(ISNUMBER(SEARCH("Ph.D",D33)),
   IF(Data_count!G33&lt;=540,"Great",
      IF(Data_count!G33&lt;=720,"Normal","Bad")),
   IF(Data_count!G33&lt;=210,"Great",
      IF(Data_count!G33&lt;=450,"Normal","Bad"))
))</f>
        <v/>
      </c>
      <c r="I33" t="str" cm="1">
        <f t="array" ref="I33">_xlfn.LET(
  _xlpm.r, E33:H33,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Good</v>
      </c>
    </row>
    <row r="34" spans="1:9">
      <c r="A34" t="str">
        <f>IF(Data_input!A34="","",Data_input!A34)</f>
        <v>247ZK</v>
      </c>
      <c r="B34" t="str">
        <f>IF(Data_input!B34="","",Data_input!B34)</f>
        <v>250PK292RD</v>
      </c>
      <c r="C34" t="str">
        <f>IF(Data_input!C34="","",Data_input!C34)</f>
        <v xml:space="preserve">ONG JUN HAO  </v>
      </c>
      <c r="D34" t="str">
        <f>IF(Data_input!L34="","",Data_input!L34)</f>
        <v>Master (Law)</v>
      </c>
      <c r="E34" t="str">
        <f>IF(Data_count!D34="", "",
   IF(Data_count!D34&lt;180, "Great",
      IF(Data_count!D34&lt;270, "Normal", "Bad")
   )
)</f>
        <v>Normal</v>
      </c>
      <c r="F34" t="str">
        <f>IF(Data_count!E34="","",
IF(Data_count!E34&gt;=200,"Great",
IF(Data_count!E34&gt;0,"Normal","Bad")))</f>
        <v>Normal</v>
      </c>
      <c r="G34" t="str">
        <f>IF(Data_count!F34="","",
IF(ISNUMBER(SEARCH("Ph.D",D34)),
   IF(Data_count!F34&lt;=540,"Great",
      IF(Data_count!F34&lt;=720,"Normal","Bad")),
   IF(Data_count!F34&lt;=210,"Great",
      IF(Data_count!F34&lt;=450,"Normal","Bad"))
))</f>
        <v>Normal</v>
      </c>
      <c r="H34" t="str">
        <f>IF(Data_count!G34="","",
IF(ISNUMBER(SEARCH("Ph.D",D34)),
   IF(Data_count!G34&lt;=540,"Great",
      IF(Data_count!G34&lt;=720,"Normal","Bad")),
   IF(Data_count!G34&lt;=210,"Great",
      IF(Data_count!G34&lt;=450,"Normal","Bad"))
))</f>
        <v/>
      </c>
      <c r="I34" t="str" cm="1">
        <f t="array" ref="I34">_xlfn.LET(
  _xlpm.r, E34:H34,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35" spans="1:9">
      <c r="A35" t="str">
        <f>IF(Data_input!A35="","",Data_input!A35)</f>
        <v>249PK</v>
      </c>
      <c r="B35" t="str">
        <f>IF(Data_input!B35="","",Data_input!B35)</f>
        <v>250PL239R2</v>
      </c>
      <c r="C35" t="str">
        <f>IF(Data_input!C35="","",Data_input!C35)</f>
        <v xml:space="preserve">PRIYA DEVI NAIR  </v>
      </c>
      <c r="D35" t="str">
        <f>IF(Data_input!L35="","",Data_input!L35)</f>
        <v>Master (Law)</v>
      </c>
      <c r="E35" t="str">
        <f>IF(Data_count!D35="", "",
   IF(Data_count!D35&lt;180, "Great",
      IF(Data_count!D35&lt;270, "Normal", "Bad")
   )
)</f>
        <v>Normal</v>
      </c>
      <c r="F35" t="str">
        <f>IF(Data_count!E35="","",
IF(Data_count!E35&gt;=200,"Great",
IF(Data_count!E35&gt;0,"Normal","Bad")))</f>
        <v>Normal</v>
      </c>
      <c r="G35" t="str">
        <f>IF(Data_count!F35="","",
IF(ISNUMBER(SEARCH("Ph.D",D35)),
   IF(Data_count!F35&lt;=540,"Great",
      IF(Data_count!F35&lt;=720,"Normal","Bad")),
   IF(Data_count!F35&lt;=210,"Great",
      IF(Data_count!F35&lt;=450,"Normal","Bad"))
))</f>
        <v>Normal</v>
      </c>
      <c r="H35" t="str">
        <f>IF(Data_count!G35="","",
IF(ISNUMBER(SEARCH("Ph.D",D35)),
   IF(Data_count!G35&lt;=540,"Great",
      IF(Data_count!G35&lt;=720,"Normal","Bad")),
   IF(Data_count!G35&lt;=210,"Great",
      IF(Data_count!G35&lt;=450,"Normal","Bad"))
))</f>
        <v/>
      </c>
      <c r="I35" t="str" cm="1">
        <f t="array" ref="I35">_xlfn.LET(
  _xlpm.r, E35:H35,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36" spans="1:9">
      <c r="A36" t="str">
        <f>IF(Data_input!A36="","",Data_input!A36)</f>
        <v>243YK</v>
      </c>
      <c r="B36" t="str">
        <f>IF(Data_input!B36="","",Data_input!B36)</f>
        <v>250PN278QD</v>
      </c>
      <c r="C36" t="str">
        <f>IF(Data_input!C36="","",Data_input!C36)</f>
        <v xml:space="preserve">CHONG KAI LUN </v>
      </c>
      <c r="D36" t="str">
        <f>IF(Data_input!L36="","",Data_input!L36)</f>
        <v>Master (Law)</v>
      </c>
      <c r="E36" t="str">
        <f>IF(Data_count!D36="", "",
   IF(Data_count!D36&lt;180, "Great",
      IF(Data_count!D36&lt;270, "Normal", "Bad")
   )
)</f>
        <v>Normal</v>
      </c>
      <c r="F36" t="str">
        <f>IF(Data_count!E36="","",
IF(Data_count!E36&gt;=200,"Great",
IF(Data_count!E36&gt;0,"Normal","Bad")))</f>
        <v>Normal</v>
      </c>
      <c r="G36" t="str">
        <f>IF(Data_count!F36="","",
IF(ISNUMBER(SEARCH("Ph.D",D36)),
   IF(Data_count!F36&lt;=540,"Great",
      IF(Data_count!F36&lt;=720,"Normal","Bad")),
   IF(Data_count!F36&lt;=210,"Great",
      IF(Data_count!F36&lt;=450,"Normal","Bad"))
))</f>
        <v>Normal</v>
      </c>
      <c r="H36" t="str">
        <f>IF(Data_count!G36="","",
IF(ISNUMBER(SEARCH("Ph.D",D36)),
   IF(Data_count!G36&lt;=540,"Great",
      IF(Data_count!G36&lt;=720,"Normal","Bad")),
   IF(Data_count!G36&lt;=210,"Great",
      IF(Data_count!G36&lt;=450,"Normal","Bad"))
))</f>
        <v/>
      </c>
      <c r="I36" t="str" cm="1">
        <f t="array" ref="I36">_xlfn.LET(
  _xlpm.r, E36:H36,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Average</v>
      </c>
    </row>
    <row r="37" spans="1:9">
      <c r="A37" t="str">
        <f>IF(Data_input!A37="","",Data_input!A37)</f>
        <v>245MK</v>
      </c>
      <c r="B37" t="str">
        <f>IF(Data_input!B37="","",Data_input!B37)</f>
        <v>250PR284PK</v>
      </c>
      <c r="C37" t="str">
        <f>IF(Data_input!C37="","",Data_input!C37)</f>
        <v xml:space="preserve">ABDUL RAHMAN BIN OTHMAN  </v>
      </c>
      <c r="D37" t="str">
        <f>IF(Data_input!L37="","",Data_input!L37)</f>
        <v>Master (Law)</v>
      </c>
      <c r="E37" t="str">
        <f>IF(Data_count!D37="", "",
   IF(Data_count!D37&lt;180, "Great",
      IF(Data_count!D37&lt;270, "Normal", "Bad")
   )
)</f>
        <v>Bad</v>
      </c>
      <c r="F37" t="str">
        <f>IF(Data_count!E37="","",
IF(Data_count!E37&gt;=200,"Great",
IF(Data_count!E37&gt;0,"Normal","Bad")))</f>
        <v>Bad</v>
      </c>
      <c r="G37" t="str">
        <f>IF(Data_count!F37="","",
IF(ISNUMBER(SEARCH("Ph.D",D37)),
   IF(Data_count!F37&lt;=540,"Great",
      IF(Data_count!F37&lt;=720,"Normal","Bad")),
   IF(Data_count!F37&lt;=210,"Great",
      IF(Data_count!F37&lt;=450,"Normal","Bad"))
))</f>
        <v>Bad</v>
      </c>
      <c r="H37" t="str">
        <f>IF(Data_count!G37="","",
IF(ISNUMBER(SEARCH("Ph.D",D37)),
   IF(Data_count!G37&lt;=540,"Great",
      IF(Data_count!G37&lt;=720,"Normal","Bad")),
   IF(Data_count!G37&lt;=210,"Great",
      IF(Data_count!G37&lt;=450,"Normal","Bad"))
))</f>
        <v/>
      </c>
      <c r="I37" t="str" cm="1">
        <f t="array" ref="I37">_xlfn.LET(
  _xlpm.r, E37:H37,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38" spans="1:9">
      <c r="A38" t="str">
        <f>IF(Data_input!A38="","",Data_input!A38)</f>
        <v>248RM</v>
      </c>
      <c r="B38" t="str">
        <f>IF(Data_input!B38="","",Data_input!B38)</f>
        <v>250PS295RM</v>
      </c>
      <c r="C38" t="str">
        <f>IF(Data_input!C38="","",Data_input!C38)</f>
        <v>YAP SIEW LING</v>
      </c>
      <c r="D38" t="str">
        <f>IF(Data_input!L38="","",Data_input!L38)</f>
        <v>Master (Communication)</v>
      </c>
      <c r="E38" t="str">
        <f>IF(Data_count!D38="", "",
   IF(Data_count!D38&lt;180, "Great",
      IF(Data_count!D38&lt;270, "Normal", "Bad")
   )
)</f>
        <v>Bad</v>
      </c>
      <c r="F38" t="str">
        <f>IF(Data_count!E38="","",
IF(Data_count!E38&gt;=200,"Great",
IF(Data_count!E38&gt;0,"Normal","Bad")))</f>
        <v>Bad</v>
      </c>
      <c r="G38" t="str">
        <f>IF(Data_count!F38="","",
IF(ISNUMBER(SEARCH("Ph.D",D38)),
   IF(Data_count!F38&lt;=540,"Great",
      IF(Data_count!F38&lt;=720,"Normal","Bad")),
   IF(Data_count!F38&lt;=210,"Great",
      IF(Data_count!F38&lt;=450,"Normal","Bad"))
))</f>
        <v>Bad</v>
      </c>
      <c r="H38" t="str">
        <f>IF(Data_count!G38="","",
IF(ISNUMBER(SEARCH("Ph.D",D38)),
   IF(Data_count!G38&lt;=540,"Great",
      IF(Data_count!G38&lt;=720,"Normal","Bad")),
   IF(Data_count!G38&lt;=210,"Great",
      IF(Data_count!G38&lt;=450,"Normal","Bad"))
))</f>
        <v/>
      </c>
      <c r="I38" t="str" cm="1">
        <f t="array" ref="I38">_xlfn.LET(
  _xlpm.r, E38:H38,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39" spans="1:9">
      <c r="A39" t="str">
        <f>IF(Data_input!A39="","",Data_input!A39)</f>
        <v>249RK</v>
      </c>
      <c r="B39" t="str">
        <f>IF(Data_input!B39="","",Data_input!B39)</f>
        <v>250PT244R3</v>
      </c>
      <c r="C39" t="str">
        <f>IF(Data_input!C39="","",Data_input!C39)</f>
        <v xml:space="preserve">MIRA SHARMINA BINTI HAMZAH  </v>
      </c>
      <c r="D39" t="str">
        <f>IF(Data_input!L39="","",Data_input!L39)</f>
        <v>Master (Communication)</v>
      </c>
      <c r="E39" t="str">
        <f>IF(Data_count!D39="", "",
   IF(Data_count!D39&lt;180, "Great",
      IF(Data_count!D39&lt;270, "Normal", "Bad")
   )
)</f>
        <v>Bad</v>
      </c>
      <c r="F39" t="str">
        <f>IF(Data_count!E39="","",
IF(Data_count!E39&gt;=200,"Great",
IF(Data_count!E39&gt;0,"Normal","Bad")))</f>
        <v>Bad</v>
      </c>
      <c r="G39" t="str">
        <f>IF(Data_count!F39="","",
IF(ISNUMBER(SEARCH("Ph.D",D39)),
   IF(Data_count!F39&lt;=540,"Great",
      IF(Data_count!F39&lt;=720,"Normal","Bad")),
   IF(Data_count!F39&lt;=210,"Great",
      IF(Data_count!F39&lt;=450,"Normal","Bad"))
))</f>
        <v>Bad</v>
      </c>
      <c r="H39" t="str">
        <f>IF(Data_count!G39="","",
IF(ISNUMBER(SEARCH("Ph.D",D39)),
   IF(Data_count!G39&lt;=540,"Great",
      IF(Data_count!G39&lt;=720,"Normal","Bad")),
   IF(Data_count!G39&lt;=210,"Great",
      IF(Data_count!G39&lt;=450,"Normal","Bad"))
))</f>
        <v/>
      </c>
      <c r="I39" t="str" cm="1">
        <f t="array" ref="I39">_xlfn.LET(
  _xlpm.r, E39:H39,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40" spans="1:9">
      <c r="A40" t="str">
        <f>IF(Data_input!A40="","",Data_input!A40)</f>
        <v>247LH</v>
      </c>
      <c r="B40" t="str">
        <f>IF(Data_input!B40="","",Data_input!B40)</f>
        <v>250PS297RL</v>
      </c>
      <c r="C40" t="str">
        <f>IF(Data_input!C40="","",Data_input!C40)</f>
        <v>KOH CHEE MING</v>
      </c>
      <c r="D40" t="str">
        <f>IF(Data_input!L40="","",Data_input!L40)</f>
        <v>Master (Communication)</v>
      </c>
      <c r="E40" t="str">
        <f>IF(Data_count!D40="", "",
   IF(Data_count!D40&lt;180, "Great",
      IF(Data_count!D40&lt;270, "Normal", "Bad")
   )
)</f>
        <v>Bad</v>
      </c>
      <c r="F40" t="str">
        <f>IF(Data_count!E40="","",
IF(Data_count!E40&gt;=200,"Great",
IF(Data_count!E40&gt;0,"Normal","Bad")))</f>
        <v>Bad</v>
      </c>
      <c r="G40" t="str">
        <f>IF(Data_count!F40="","",
IF(ISNUMBER(SEARCH("Ph.D",D40)),
   IF(Data_count!F40&lt;=540,"Great",
      IF(Data_count!F40&lt;=720,"Normal","Bad")),
   IF(Data_count!F40&lt;=210,"Great",
      IF(Data_count!F40&lt;=450,"Normal","Bad"))
))</f>
        <v>Bad</v>
      </c>
      <c r="H40" t="str">
        <f>IF(Data_count!G40="","",
IF(ISNUMBER(SEARCH("Ph.D",D40)),
   IF(Data_count!G40&lt;=540,"Great",
      IF(Data_count!G40&lt;=720,"Normal","Bad")),
   IF(Data_count!G40&lt;=210,"Great",
      IF(Data_count!G40&lt;=450,"Normal","Bad"))
))</f>
        <v/>
      </c>
      <c r="I40" t="str" cm="1">
        <f t="array" ref="I40">_xlfn.LET(
  _xlpm.r, E40:H40,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>Bad</v>
      </c>
    </row>
    <row r="41" spans="1:9">
      <c r="A41" t="str">
        <f>IF(Data_input!A41="","",Data_input!A41)</f>
        <v>247LH</v>
      </c>
      <c r="B41" t="str">
        <f>IF(Data_input!B41="","",Data_input!B41)</f>
        <v>250PS297RL</v>
      </c>
      <c r="C41" t="str">
        <f>IF(Data_input!C41="","",Data_input!C41)</f>
        <v>ANG ANSON</v>
      </c>
      <c r="D41" t="str">
        <f>IF(Data_input!L41="","",Data_input!L41)</f>
        <v>Master (Communication)</v>
      </c>
      <c r="F41" t="str">
        <f>IF(Data_count!E41="","",
IF(Data_count!E41&gt;=200,"Great",
IF(Data_count!E41&gt;0,"Normal","Bad")))</f>
        <v/>
      </c>
      <c r="G41" t="str">
        <f>IF(Data_count!F41="","",
IF(ISNUMBER(SEARCH("Ph.D",D41)),
   IF(Data_count!F41&lt;=540,"Great",
      IF(Data_count!F41&lt;=720,"Normal","Bad")),
   IF(Data_count!F41&lt;=210,"Great",
      IF(Data_count!F41&lt;=450,"Normal","Bad"))
))</f>
        <v/>
      </c>
      <c r="H41" t="str">
        <f>IF(Data_count!G41="","",
IF(ISNUMBER(SEARCH("Ph.D",D41)),
   IF(Data_count!G41&lt;=540,"Great",
      IF(Data_count!G41&lt;=720,"Normal","Bad")),
   IF(Data_count!G41&lt;=210,"Great",
      IF(Data_count!G41&lt;=450,"Normal","Bad"))
))</f>
        <v/>
      </c>
      <c r="I41" t="str" cm="1">
        <f t="array" ref="I41">_xlfn.LET(
  _xlpm.r, E41:H41,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42" spans="1:9">
      <c r="A42" t="str">
        <f>IF(Data_input!A42="","",Data_input!A42)</f>
        <v/>
      </c>
      <c r="B42" t="str">
        <f>IF(Data_input!B42="","",Data_input!B42)</f>
        <v/>
      </c>
      <c r="C42" t="str">
        <f>IF(Data_input!C42="","",Data_input!C42)</f>
        <v/>
      </c>
      <c r="D42" t="str">
        <f>IF(Data_input!L42="","",Data_input!L42)</f>
        <v/>
      </c>
      <c r="F42" t="str">
        <f>IF(Data_count!E42="","",
IF(Data_count!E42&gt;=200,"Great",
IF(Data_count!E42&gt;0,"Normal","Bad")))</f>
        <v/>
      </c>
      <c r="G42" t="str">
        <f>IF(Data_count!F42="","",
IF(ISNUMBER(SEARCH("Ph.D",D42)),
   IF(Data_count!F42&lt;=540,"Great",
      IF(Data_count!F42&lt;=720,"Normal","Bad")),
   IF(Data_count!F42&lt;=210,"Great",
      IF(Data_count!F42&lt;=450,"Normal","Bad"))
))</f>
        <v/>
      </c>
      <c r="H42" t="str">
        <f>IF(Data_count!G42="","",
IF(ISNUMBER(SEARCH("Ph.D",D42)),
   IF(Data_count!G42&lt;=540,"Great",
      IF(Data_count!G42&lt;=720,"Normal","Bad")),
   IF(Data_count!G42&lt;=210,"Great",
      IF(Data_count!G42&lt;=450,"Normal","Bad"))
))</f>
        <v/>
      </c>
      <c r="I42" t="str" cm="1">
        <f t="array" ref="I42">_xlfn.LET(
  _xlpm.r, E42:H42,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43" spans="1:9">
      <c r="A43" t="str">
        <f>IF(Data_input!A43="","",Data_input!A43)</f>
        <v/>
      </c>
      <c r="B43" t="str">
        <f>IF(Data_input!B43="","",Data_input!B43)</f>
        <v/>
      </c>
      <c r="C43" t="str">
        <f>IF(Data_input!C43="","",Data_input!C43)</f>
        <v/>
      </c>
      <c r="D43" t="str">
        <f>IF(Data_input!L43="","",Data_input!L43)</f>
        <v/>
      </c>
      <c r="F43" t="str">
        <f>IF(Data_count!E43="","",
IF(Data_count!E43&gt;=200,"Great",
IF(Data_count!E43&gt;0,"Normal","Bad")))</f>
        <v/>
      </c>
      <c r="G43" t="str">
        <f>IF(Data_count!F43="","",
IF(ISNUMBER(SEARCH("Ph.D",D43)),
   IF(Data_count!F43&lt;=540,"Great",
      IF(Data_count!F43&lt;=720,"Normal","Bad")),
   IF(Data_count!F43&lt;=210,"Great",
      IF(Data_count!F43&lt;=450,"Normal","Bad"))
))</f>
        <v/>
      </c>
      <c r="H43" t="str">
        <f>IF(Data_count!G43="","",
IF(ISNUMBER(SEARCH("Ph.D",D43)),
   IF(Data_count!G43&lt;=540,"Great",
      IF(Data_count!G43&lt;=720,"Normal","Bad")),
   IF(Data_count!G43&lt;=210,"Great",
      IF(Data_count!G43&lt;=450,"Normal","Bad"))
))</f>
        <v/>
      </c>
      <c r="I43" t="str" cm="1">
        <f t="array" ref="I43">_xlfn.LET(
  _xlpm.r, E43:H43,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44" spans="1:9">
      <c r="A44" t="str">
        <f>IF(Data_input!A44="","",Data_input!A44)</f>
        <v/>
      </c>
      <c r="B44" t="str">
        <f>IF(Data_input!B44="","",Data_input!B44)</f>
        <v/>
      </c>
      <c r="C44" t="str">
        <f>IF(Data_input!C44="","",Data_input!C44)</f>
        <v/>
      </c>
      <c r="D44" t="str">
        <f>IF(Data_input!L44="","",Data_input!L44)</f>
        <v/>
      </c>
      <c r="F44" t="str">
        <f>IF(Data_count!E44="","",
IF(Data_count!E44&gt;=200,"Great",
IF(Data_count!E44&gt;0,"Normal","Bad")))</f>
        <v/>
      </c>
      <c r="G44" t="str">
        <f>IF(Data_count!F44="","",
IF(ISNUMBER(SEARCH("Ph.D",D44)),
   IF(Data_count!F44&lt;=540,"Great",
      IF(Data_count!F44&lt;=720,"Normal","Bad")),
   IF(Data_count!F44&lt;=210,"Great",
      IF(Data_count!F44&lt;=450,"Normal","Bad"))
))</f>
        <v/>
      </c>
      <c r="H44" t="str">
        <f>IF(Data_count!G44="","",
IF(ISNUMBER(SEARCH("Ph.D",D44)),
   IF(Data_count!G44&lt;=540,"Great",
      IF(Data_count!G44&lt;=720,"Normal","Bad")),
   IF(Data_count!G44&lt;=210,"Great",
      IF(Data_count!G44&lt;=450,"Normal","Bad"))
))</f>
        <v/>
      </c>
      <c r="I44" t="str" cm="1">
        <f t="array" ref="I44">_xlfn.LET(
  _xlpm.r, E44:H44,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45" spans="1:9">
      <c r="A45" t="str">
        <f>IF(Data_input!A45="","",Data_input!A45)</f>
        <v/>
      </c>
      <c r="B45" t="str">
        <f>IF(Data_input!B45="","",Data_input!B45)</f>
        <v/>
      </c>
      <c r="C45" t="str">
        <f>IF(Data_input!C45="","",Data_input!C45)</f>
        <v/>
      </c>
      <c r="D45" t="str">
        <f>IF(Data_input!L45="","",Data_input!L45)</f>
        <v/>
      </c>
      <c r="F45" t="str">
        <f>IF(Data_count!E45="","",
IF(Data_count!E45&gt;=200,"Great",
IF(Data_count!E45&gt;0,"Normal","Bad")))</f>
        <v/>
      </c>
      <c r="G45" t="str">
        <f>IF(Data_count!F45="","",
IF(ISNUMBER(SEARCH("Ph.D",D45)),
   IF(Data_count!F45&lt;=540,"Great",
      IF(Data_count!F45&lt;=720,"Normal","Bad")),
   IF(Data_count!F45&lt;=210,"Great",
      IF(Data_count!F45&lt;=450,"Normal","Bad"))
))</f>
        <v/>
      </c>
      <c r="H45" t="str">
        <f>IF(Data_count!G45="","",
IF(ISNUMBER(SEARCH("Ph.D",D45)),
   IF(Data_count!G45&lt;=540,"Great",
      IF(Data_count!G45&lt;=720,"Normal","Bad")),
   IF(Data_count!G45&lt;=210,"Great",
      IF(Data_count!G45&lt;=450,"Normal","Bad"))
))</f>
        <v/>
      </c>
      <c r="I45" t="str" cm="1">
        <f t="array" ref="I45">_xlfn.LET(
  _xlpm.r, E45:H45,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46" spans="1:9">
      <c r="A46" t="str">
        <f>IF(Data_input!A46="","",Data_input!A46)</f>
        <v/>
      </c>
      <c r="B46" t="str">
        <f>IF(Data_input!B46="","",Data_input!B46)</f>
        <v/>
      </c>
      <c r="C46" t="str">
        <f>IF(Data_input!C46="","",Data_input!C46)</f>
        <v/>
      </c>
      <c r="D46" t="str">
        <f>IF(Data_input!L46="","",Data_input!L46)</f>
        <v/>
      </c>
      <c r="F46" t="str">
        <f>IF(Data_count!E46="","",
IF(Data_count!E46&gt;=200,"Great",
IF(Data_count!E46&gt;0,"Normal","Bad")))</f>
        <v/>
      </c>
      <c r="G46" t="str">
        <f>IF(Data_count!F46="","",
IF(ISNUMBER(SEARCH("Ph.D",D46)),
   IF(Data_count!F46&lt;=540,"Great",
      IF(Data_count!F46&lt;=720,"Normal","Bad")),
   IF(Data_count!F46&lt;=210,"Great",
      IF(Data_count!F46&lt;=450,"Normal","Bad"))
))</f>
        <v/>
      </c>
      <c r="H46" t="str">
        <f>IF(Data_count!G46="","",
IF(ISNUMBER(SEARCH("Ph.D",D46)),
   IF(Data_count!G46&lt;=540,"Great",
      IF(Data_count!G46&lt;=720,"Normal","Bad")),
   IF(Data_count!G46&lt;=210,"Great",
      IF(Data_count!G46&lt;=450,"Normal","Bad"))
))</f>
        <v/>
      </c>
      <c r="I46" t="str" cm="1">
        <f t="array" ref="I46">_xlfn.LET(
  _xlpm.r, E46:H46,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47" spans="1:9">
      <c r="A47" t="str">
        <f>IF(Data_input!A47="","",Data_input!A47)</f>
        <v/>
      </c>
      <c r="B47" t="str">
        <f>IF(Data_input!B47="","",Data_input!B47)</f>
        <v/>
      </c>
      <c r="C47" t="str">
        <f>IF(Data_input!C47="","",Data_input!C47)</f>
        <v/>
      </c>
      <c r="D47" t="str">
        <f>IF(Data_input!L47="","",Data_input!L47)</f>
        <v/>
      </c>
      <c r="F47" t="str">
        <f>IF(Data_count!E47="","",
IF(Data_count!E47&gt;=200,"Great",
IF(Data_count!E47&gt;0,"Normal","Bad")))</f>
        <v/>
      </c>
      <c r="G47" t="str">
        <f>IF(Data_count!F47="","",
IF(ISNUMBER(SEARCH("Ph.D",D47)),
   IF(Data_count!F47&lt;=540,"Great",
      IF(Data_count!F47&lt;=720,"Normal","Bad")),
   IF(Data_count!F47&lt;=210,"Great",
      IF(Data_count!F47&lt;=450,"Normal","Bad"))
))</f>
        <v/>
      </c>
      <c r="H47" t="str">
        <f>IF(Data_count!G47="","",
IF(ISNUMBER(SEARCH("Ph.D",D47)),
   IF(Data_count!G47&lt;=540,"Great",
      IF(Data_count!G47&lt;=720,"Normal","Bad")),
   IF(Data_count!G47&lt;=210,"Great",
      IF(Data_count!G47&lt;=450,"Normal","Bad"))
))</f>
        <v/>
      </c>
      <c r="I47" t="str" cm="1">
        <f t="array" ref="I47">_xlfn.LET(
  _xlpm.r, E47:H47,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48" spans="1:9">
      <c r="A48" t="str">
        <f>IF(Data_input!A48="","",Data_input!A48)</f>
        <v/>
      </c>
      <c r="B48" t="str">
        <f>IF(Data_input!B48="","",Data_input!B48)</f>
        <v/>
      </c>
      <c r="C48" t="str">
        <f>IF(Data_input!C48="","",Data_input!C48)</f>
        <v/>
      </c>
      <c r="D48" t="str">
        <f>IF(Data_input!L48="","",Data_input!L48)</f>
        <v/>
      </c>
      <c r="F48" t="str">
        <f>IF(Data_count!E48="","",
IF(Data_count!E48&gt;=200,"Great",
IF(Data_count!E48&gt;0,"Normal","Bad")))</f>
        <v/>
      </c>
      <c r="G48" t="str">
        <f>IF(Data_count!F48="","",
IF(ISNUMBER(SEARCH("Ph.D",D48)),
   IF(Data_count!F48&lt;=540,"Great",
      IF(Data_count!F48&lt;=720,"Normal","Bad")),
   IF(Data_count!F48&lt;=210,"Great",
      IF(Data_count!F48&lt;=450,"Normal","Bad"))
))</f>
        <v/>
      </c>
      <c r="H48" t="str">
        <f>IF(Data_count!G48="","",
IF(ISNUMBER(SEARCH("Ph.D",D48)),
   IF(Data_count!G48&lt;=540,"Great",
      IF(Data_count!G48&lt;=720,"Normal","Bad")),
   IF(Data_count!G48&lt;=210,"Great",
      IF(Data_count!G48&lt;=450,"Normal","Bad"))
))</f>
        <v/>
      </c>
      <c r="I48" t="str" cm="1">
        <f t="array" ref="I48">_xlfn.LET(
  _xlpm.r, E48:H48,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49" spans="1:9">
      <c r="A49" t="str">
        <f>IF(Data_input!A49="","",Data_input!A49)</f>
        <v/>
      </c>
      <c r="B49" t="str">
        <f>IF(Data_input!B49="","",Data_input!B49)</f>
        <v/>
      </c>
      <c r="C49" t="str">
        <f>IF(Data_input!C49="","",Data_input!C49)</f>
        <v/>
      </c>
      <c r="D49" t="str">
        <f>IF(Data_input!L49="","",Data_input!L49)</f>
        <v/>
      </c>
      <c r="F49" t="str">
        <f>IF(Data_count!E49="","",
IF(Data_count!E49&gt;=200,"Great",
IF(Data_count!E49&gt;0,"Normal","Bad")))</f>
        <v/>
      </c>
      <c r="G49" t="str">
        <f>IF(Data_count!F49="","",
IF(ISNUMBER(SEARCH("Ph.D",D49)),
   IF(Data_count!F49&lt;=540,"Great",
      IF(Data_count!F49&lt;=720,"Normal","Bad")),
   IF(Data_count!F49&lt;=210,"Great",
      IF(Data_count!F49&lt;=450,"Normal","Bad"))
))</f>
        <v/>
      </c>
      <c r="H49" t="str">
        <f>IF(Data_count!G49="","",
IF(ISNUMBER(SEARCH("Ph.D",D49)),
   IF(Data_count!G49&lt;=540,"Great",
      IF(Data_count!G49&lt;=720,"Normal","Bad")),
   IF(Data_count!G49&lt;=210,"Great",
      IF(Data_count!G49&lt;=450,"Normal","Bad"))
))</f>
        <v/>
      </c>
      <c r="I49" t="str" cm="1">
        <f t="array" ref="I49">_xlfn.LET(
  _xlpm.r, E49:H49,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50" spans="1:9">
      <c r="A50" t="str">
        <f>IF(Data_input!A50="","",Data_input!A50)</f>
        <v/>
      </c>
      <c r="B50" t="str">
        <f>IF(Data_input!B50="","",Data_input!B50)</f>
        <v/>
      </c>
      <c r="C50" t="str">
        <f>IF(Data_input!C50="","",Data_input!C50)</f>
        <v/>
      </c>
      <c r="D50" t="str">
        <f>IF(Data_input!L50="","",Data_input!L50)</f>
        <v/>
      </c>
      <c r="F50" t="str">
        <f>IF(Data_count!E50="","",
IF(Data_count!E50&gt;=200,"Great",
IF(Data_count!E50&gt;0,"Normal","Bad")))</f>
        <v/>
      </c>
      <c r="G50" t="str">
        <f>IF(Data_count!F50="","",
IF(ISNUMBER(SEARCH("Ph.D",D50)),
   IF(Data_count!F50&lt;=540,"Great",
      IF(Data_count!F50&lt;=720,"Normal","Bad")),
   IF(Data_count!F50&lt;=210,"Great",
      IF(Data_count!F50&lt;=450,"Normal","Bad"))
))</f>
        <v/>
      </c>
      <c r="H50" t="str">
        <f>IF(Data_count!G50="","",
IF(ISNUMBER(SEARCH("Ph.D",D50)),
   IF(Data_count!G50&lt;=540,"Great",
      IF(Data_count!G50&lt;=720,"Normal","Bad")),
   IF(Data_count!G50&lt;=210,"Great",
      IF(Data_count!G50&lt;=450,"Normal","Bad"))
))</f>
        <v/>
      </c>
      <c r="I50" t="str" cm="1">
        <f t="array" ref="I50">_xlfn.LET(
  _xlpm.r, E50:H50,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51" spans="1:9">
      <c r="A51" t="str">
        <f>IF(Data_input!A51="","",Data_input!A51)</f>
        <v/>
      </c>
      <c r="B51" t="str">
        <f>IF(Data_input!B51="","",Data_input!B51)</f>
        <v/>
      </c>
      <c r="C51" t="str">
        <f>IF(Data_input!C51="","",Data_input!C51)</f>
        <v/>
      </c>
      <c r="D51" t="str">
        <f>IF(Data_input!L51="","",Data_input!L51)</f>
        <v/>
      </c>
      <c r="F51" t="str">
        <f>IF(Data_count!E51="","",
IF(Data_count!E51&gt;=200,"Great",
IF(Data_count!E51&gt;0,"Normal","Bad")))</f>
        <v/>
      </c>
      <c r="G51" t="str">
        <f>IF(Data_count!F51="","",
IF(ISNUMBER(SEARCH("Ph.D",D51)),
   IF(Data_count!F51&lt;=540,"Great",
      IF(Data_count!F51&lt;=720,"Normal","Bad")),
   IF(Data_count!F51&lt;=210,"Great",
      IF(Data_count!F51&lt;=450,"Normal","Bad"))
))</f>
        <v/>
      </c>
      <c r="H51" t="str">
        <f>IF(Data_count!G51="","",
IF(ISNUMBER(SEARCH("Ph.D",D51)),
   IF(Data_count!G51&lt;=540,"Great",
      IF(Data_count!G51&lt;=720,"Normal","Bad")),
   IF(Data_count!G51&lt;=210,"Great",
      IF(Data_count!G51&lt;=450,"Normal","Bad"))
))</f>
        <v/>
      </c>
      <c r="I51" t="str" cm="1">
        <f t="array" ref="I51">_xlfn.LET(
  _xlpm.r, E51:H51,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52" spans="1:9">
      <c r="A52" t="str">
        <f>IF(Data_input!A52="","",Data_input!A52)</f>
        <v/>
      </c>
      <c r="B52" t="str">
        <f>IF(Data_input!B52="","",Data_input!B52)</f>
        <v/>
      </c>
      <c r="C52" t="str">
        <f>IF(Data_input!C52="","",Data_input!C52)</f>
        <v/>
      </c>
      <c r="D52" t="str">
        <f>IF(Data_input!L52="","",Data_input!L52)</f>
        <v/>
      </c>
      <c r="F52" t="str">
        <f>IF(Data_count!E52="","",
IF(Data_count!E52&gt;=200,"Great",
IF(Data_count!E52&gt;0,"Normal","Bad")))</f>
        <v/>
      </c>
      <c r="G52" t="str">
        <f>IF(Data_count!F52="","",
IF(ISNUMBER(SEARCH("Ph.D",D52)),
   IF(Data_count!F52&lt;=540,"Great",
      IF(Data_count!F52&lt;=720,"Normal","Bad")),
   IF(Data_count!F52&lt;=210,"Great",
      IF(Data_count!F52&lt;=450,"Normal","Bad"))
))</f>
        <v/>
      </c>
      <c r="H52" t="str">
        <f>IF(Data_count!G52="","",
IF(ISNUMBER(SEARCH("Ph.D",D52)),
   IF(Data_count!G52&lt;=540,"Great",
      IF(Data_count!G52&lt;=720,"Normal","Bad")),
   IF(Data_count!G52&lt;=210,"Great",
      IF(Data_count!G52&lt;=450,"Normal","Bad"))
))</f>
        <v/>
      </c>
      <c r="I52" t="str" cm="1">
        <f t="array" ref="I52">_xlfn.LET(
  _xlpm.r, E52:H52,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53" spans="1:9">
      <c r="A53" t="str">
        <f>IF(Data_input!A53="","",Data_input!A53)</f>
        <v/>
      </c>
      <c r="B53" t="str">
        <f>IF(Data_input!B53="","",Data_input!B53)</f>
        <v/>
      </c>
      <c r="C53" t="str">
        <f>IF(Data_input!C53="","",Data_input!C53)</f>
        <v/>
      </c>
      <c r="D53" t="str">
        <f>IF(Data_input!L53="","",Data_input!L53)</f>
        <v/>
      </c>
      <c r="F53" t="str">
        <f>IF(Data_count!E53="","",
IF(Data_count!E53&gt;=200,"Great",
IF(Data_count!E53&gt;0,"Normal","Bad")))</f>
        <v/>
      </c>
      <c r="G53" t="str">
        <f>IF(Data_count!F53="","",
IF(ISNUMBER(SEARCH("Ph.D",D53)),
   IF(Data_count!F53&lt;=540,"Great",
      IF(Data_count!F53&lt;=720,"Normal","Bad")),
   IF(Data_count!F53&lt;=210,"Great",
      IF(Data_count!F53&lt;=450,"Normal","Bad"))
))</f>
        <v/>
      </c>
      <c r="H53" t="str">
        <f>IF(Data_count!G53="","",
IF(ISNUMBER(SEARCH("Ph.D",D53)),
   IF(Data_count!G53&lt;=540,"Great",
      IF(Data_count!G53&lt;=720,"Normal","Bad")),
   IF(Data_count!G53&lt;=210,"Great",
      IF(Data_count!G53&lt;=450,"Normal","Bad"))
))</f>
        <v/>
      </c>
      <c r="I53" t="str" cm="1">
        <f t="array" ref="I53">_xlfn.LET(
  _xlpm.r, E53:H53,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54" spans="1:9">
      <c r="A54" t="str">
        <f>IF(Data_input!A54="","",Data_input!A54)</f>
        <v/>
      </c>
      <c r="B54" t="str">
        <f>IF(Data_input!B54="","",Data_input!B54)</f>
        <v/>
      </c>
      <c r="C54" t="str">
        <f>IF(Data_input!C54="","",Data_input!C54)</f>
        <v/>
      </c>
      <c r="D54" t="str">
        <f>IF(Data_input!L54="","",Data_input!L54)</f>
        <v/>
      </c>
      <c r="F54" t="str">
        <f>IF(Data_count!E54="","",
IF(Data_count!E54&gt;=200,"Great",
IF(Data_count!E54&gt;0,"Normal","Bad")))</f>
        <v/>
      </c>
      <c r="G54" t="str">
        <f>IF(Data_count!F54="","",
IF(ISNUMBER(SEARCH("Ph.D",D54)),
   IF(Data_count!F54&lt;=540,"Great",
      IF(Data_count!F54&lt;=720,"Normal","Bad")),
   IF(Data_count!F54&lt;=210,"Great",
      IF(Data_count!F54&lt;=450,"Normal","Bad"))
))</f>
        <v/>
      </c>
      <c r="H54" t="str">
        <f>IF(Data_count!G54="","",
IF(ISNUMBER(SEARCH("Ph.D",D54)),
   IF(Data_count!G54&lt;=540,"Great",
      IF(Data_count!G54&lt;=720,"Normal","Bad")),
   IF(Data_count!G54&lt;=210,"Great",
      IF(Data_count!G54&lt;=450,"Normal","Bad"))
))</f>
        <v/>
      </c>
      <c r="I54" t="str" cm="1">
        <f t="array" ref="I54">_xlfn.LET(
  _xlpm.r, E54:H54,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55" spans="1:9">
      <c r="A55" t="str">
        <f>IF(Data_input!A55="","",Data_input!A55)</f>
        <v/>
      </c>
      <c r="B55" t="str">
        <f>IF(Data_input!B55="","",Data_input!B55)</f>
        <v/>
      </c>
      <c r="C55" t="str">
        <f>IF(Data_input!C55="","",Data_input!C55)</f>
        <v/>
      </c>
      <c r="D55" t="str">
        <f>IF(Data_input!L55="","",Data_input!L55)</f>
        <v/>
      </c>
      <c r="F55" t="str">
        <f>IF(Data_count!E55="","",
IF(Data_count!E55&gt;=200,"Great",
IF(Data_count!E55&gt;0,"Normal","Bad")))</f>
        <v/>
      </c>
      <c r="G55" t="str">
        <f>IF(Data_count!F55="","",
IF(ISNUMBER(SEARCH("Ph.D",D55)),
   IF(Data_count!F55&lt;=540,"Great",
      IF(Data_count!F55&lt;=720,"Normal","Bad")),
   IF(Data_count!F55&lt;=210,"Great",
      IF(Data_count!F55&lt;=450,"Normal","Bad"))
))</f>
        <v/>
      </c>
      <c r="H55" t="str">
        <f>IF(Data_count!G55="","",
IF(ISNUMBER(SEARCH("Ph.D",D55)),
   IF(Data_count!G55&lt;=540,"Great",
      IF(Data_count!G55&lt;=720,"Normal","Bad")),
   IF(Data_count!G55&lt;=210,"Great",
      IF(Data_count!G55&lt;=450,"Normal","Bad"))
))</f>
        <v/>
      </c>
      <c r="I55" t="str" cm="1">
        <f t="array" ref="I55">_xlfn.LET(
  _xlpm.r, E55:H55,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56" spans="1:9">
      <c r="A56" t="str">
        <f>IF(Data_input!A56="","",Data_input!A56)</f>
        <v/>
      </c>
      <c r="B56" t="str">
        <f>IF(Data_input!B56="","",Data_input!B56)</f>
        <v/>
      </c>
      <c r="C56" t="str">
        <f>IF(Data_input!C56="","",Data_input!C56)</f>
        <v/>
      </c>
      <c r="D56" t="str">
        <f>IF(Data_input!L56="","",Data_input!L56)</f>
        <v/>
      </c>
      <c r="F56" t="str">
        <f>IF(Data_count!E56="","",
IF(Data_count!E56&gt;=200,"Great",
IF(Data_count!E56&gt;0,"Normal","Bad")))</f>
        <v/>
      </c>
      <c r="G56" t="str">
        <f>IF(Data_count!F56="","",
IF(ISNUMBER(SEARCH("Ph.D",D56)),
   IF(Data_count!F56&lt;=540,"Great",
      IF(Data_count!F56&lt;=720,"Normal","Bad")),
   IF(Data_count!F56&lt;=210,"Great",
      IF(Data_count!F56&lt;=450,"Normal","Bad"))
))</f>
        <v/>
      </c>
      <c r="H56" t="str">
        <f>IF(Data_count!G56="","",
IF(ISNUMBER(SEARCH("Ph.D",D56)),
   IF(Data_count!G56&lt;=540,"Great",
      IF(Data_count!G56&lt;=720,"Normal","Bad")),
   IF(Data_count!G56&lt;=210,"Great",
      IF(Data_count!G56&lt;=450,"Normal","Bad"))
))</f>
        <v/>
      </c>
      <c r="I56" t="str" cm="1">
        <f t="array" ref="I56">_xlfn.LET(
  _xlpm.r, E56:H56,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57" spans="1:9">
      <c r="A57" t="str">
        <f>IF(Data_input!A57="","",Data_input!A57)</f>
        <v/>
      </c>
      <c r="B57" t="str">
        <f>IF(Data_input!B57="","",Data_input!B57)</f>
        <v/>
      </c>
      <c r="C57" t="str">
        <f>IF(Data_input!C57="","",Data_input!C57)</f>
        <v/>
      </c>
      <c r="D57" t="str">
        <f>IF(Data_input!L57="","",Data_input!L57)</f>
        <v/>
      </c>
      <c r="F57" t="str">
        <f>IF(Data_count!E57="","",
IF(Data_count!E57&gt;=200,"Great",
IF(Data_count!E57&gt;0,"Normal","Bad")))</f>
        <v/>
      </c>
      <c r="G57" t="str">
        <f>IF(Data_count!F57="","",
IF(ISNUMBER(SEARCH("Ph.D",D57)),
   IF(Data_count!F57&lt;=540,"Great",
      IF(Data_count!F57&lt;=720,"Normal","Bad")),
   IF(Data_count!F57&lt;=210,"Great",
      IF(Data_count!F57&lt;=450,"Normal","Bad"))
))</f>
        <v/>
      </c>
      <c r="H57" t="str">
        <f>IF(Data_count!G57="","",
IF(ISNUMBER(SEARCH("Ph.D",D57)),
   IF(Data_count!G57&lt;=540,"Great",
      IF(Data_count!G57&lt;=720,"Normal","Bad")),
   IF(Data_count!G57&lt;=210,"Great",
      IF(Data_count!G57&lt;=450,"Normal","Bad"))
))</f>
        <v/>
      </c>
      <c r="I57" t="str" cm="1">
        <f t="array" ref="I57">_xlfn.LET(
  _xlpm.r, E57:H57,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58" spans="1:9">
      <c r="A58" t="str">
        <f>IF(Data_input!A58="","",Data_input!A58)</f>
        <v/>
      </c>
      <c r="B58" t="str">
        <f>IF(Data_input!B58="","",Data_input!B58)</f>
        <v/>
      </c>
      <c r="C58" t="str">
        <f>IF(Data_input!C58="","",Data_input!C58)</f>
        <v/>
      </c>
      <c r="D58" t="str">
        <f>IF(Data_input!L58="","",Data_input!L58)</f>
        <v/>
      </c>
      <c r="F58" t="str">
        <f>IF(Data_count!E58="","",
IF(Data_count!E58&gt;=200,"Great",
IF(Data_count!E58&gt;0,"Normal","Bad")))</f>
        <v/>
      </c>
      <c r="G58" t="str">
        <f>IF(Data_count!F58="","",
IF(ISNUMBER(SEARCH("Ph.D",D58)),
   IF(Data_count!F58&lt;=540,"Great",
      IF(Data_count!F58&lt;=720,"Normal","Bad")),
   IF(Data_count!F58&lt;=210,"Great",
      IF(Data_count!F58&lt;=450,"Normal","Bad"))
))</f>
        <v/>
      </c>
      <c r="H58" t="str">
        <f>IF(Data_count!G58="","",
IF(ISNUMBER(SEARCH("Ph.D",D58)),
   IF(Data_count!G58&lt;=540,"Great",
      IF(Data_count!G58&lt;=720,"Normal","Bad")),
   IF(Data_count!G58&lt;=210,"Great",
      IF(Data_count!G58&lt;=450,"Normal","Bad"))
))</f>
        <v/>
      </c>
      <c r="I58" t="str" cm="1">
        <f t="array" ref="I58">_xlfn.LET(
  _xlpm.r, E58:H58,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59" spans="1:9">
      <c r="A59" t="str">
        <f>IF(Data_input!A59="","",Data_input!A59)</f>
        <v/>
      </c>
      <c r="B59" t="str">
        <f>IF(Data_input!B59="","",Data_input!B59)</f>
        <v/>
      </c>
      <c r="C59" t="str">
        <f>IF(Data_input!C59="","",Data_input!C59)</f>
        <v/>
      </c>
      <c r="D59" t="str">
        <f>IF(Data_input!L59="","",Data_input!L59)</f>
        <v/>
      </c>
      <c r="F59" t="str">
        <f>IF(Data_count!E59="","",
IF(Data_count!E59&gt;=200,"Great",
IF(Data_count!E59&gt;0,"Normal","Bad")))</f>
        <v/>
      </c>
      <c r="G59" t="str">
        <f>IF(Data_count!F59="","",
IF(ISNUMBER(SEARCH("Ph.D",D59)),
   IF(Data_count!F59&lt;=540,"Great",
      IF(Data_count!F59&lt;=720,"Normal","Bad")),
   IF(Data_count!F59&lt;=210,"Great",
      IF(Data_count!F59&lt;=450,"Normal","Bad"))
))</f>
        <v/>
      </c>
      <c r="H59" t="str">
        <f>IF(Data_count!G59="","",
IF(ISNUMBER(SEARCH("Ph.D",D59)),
   IF(Data_count!G59&lt;=540,"Great",
      IF(Data_count!G59&lt;=720,"Normal","Bad")),
   IF(Data_count!G59&lt;=210,"Great",
      IF(Data_count!G59&lt;=450,"Normal","Bad"))
))</f>
        <v/>
      </c>
      <c r="I59" t="str" cm="1">
        <f t="array" ref="I59">_xlfn.LET(
  _xlpm.r, E59:H59,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60" spans="1:9">
      <c r="A60" t="str">
        <f>IF(Data_input!A60="","",Data_input!A60)</f>
        <v/>
      </c>
      <c r="B60" t="str">
        <f>IF(Data_input!B60="","",Data_input!B60)</f>
        <v/>
      </c>
      <c r="C60" t="str">
        <f>IF(Data_input!C60="","",Data_input!C60)</f>
        <v/>
      </c>
      <c r="D60" t="str">
        <f>IF(Data_input!L60="","",Data_input!L60)</f>
        <v/>
      </c>
      <c r="F60" t="str">
        <f>IF(Data_count!E60="","",
IF(Data_count!E60&gt;=200,"Great",
IF(Data_count!E60&gt;0,"Normal","Bad")))</f>
        <v/>
      </c>
      <c r="G60" t="str">
        <f>IF(Data_count!F60="","",
IF(ISNUMBER(SEARCH("Ph.D",D60)),
   IF(Data_count!F60&lt;=540,"Great",
      IF(Data_count!F60&lt;=720,"Normal","Bad")),
   IF(Data_count!F60&lt;=210,"Great",
      IF(Data_count!F60&lt;=450,"Normal","Bad"))
))</f>
        <v/>
      </c>
      <c r="H60" t="str">
        <f>IF(Data_count!G60="","",
IF(ISNUMBER(SEARCH("Ph.D",D60)),
   IF(Data_count!G60&lt;=540,"Great",
      IF(Data_count!G60&lt;=720,"Normal","Bad")),
   IF(Data_count!G60&lt;=210,"Great",
      IF(Data_count!G60&lt;=450,"Normal","Bad"))
))</f>
        <v/>
      </c>
      <c r="I60" t="str" cm="1">
        <f t="array" ref="I60">_xlfn.LET(
  _xlpm.r, E60:H60,
  _xlpm.t, UPPER(TRIM(_xlpm.r)),
  _xlpm.n, SUMPRODUCT(--((_xlpm.t="GREAT")+(_xlpm.t="NORMAL")+(_xlpm.t="BAD")&gt;0)),
  _xlpm.thr, ROUNDUP(_xlpm.n*2/3,0),
  _xlpm.badc, SUMPRODUCT(--(_xlpm.t="BAD")),
  _xlpm.grc, SUMPRODUCT(--(_xlpm.t="GREAT")),
  IF(_xlpm.n=0,"", IF(_xlpm.badc&gt;=_xlpm.thr,"Bad", IF(_xlpm.grc&gt;=_xlpm.thr,"Good","Average")))
)</f>
        <v/>
      </c>
    </row>
    <row r="61" spans="1:9">
      <c r="A61" t="str">
        <f>IF(Data_input!A61="","",Data_input!A61)</f>
        <v/>
      </c>
    </row>
    <row r="62" spans="1:9">
      <c r="A62" t="str">
        <f>IF(Data_input!A62="","",Data_input!A62)</f>
        <v/>
      </c>
    </row>
    <row r="63" spans="1:9">
      <c r="A63" t="str">
        <f>IF(Data_input!A63="","",Data_input!A63)</f>
        <v/>
      </c>
    </row>
    <row r="64" spans="1:9">
      <c r="A64" t="str">
        <f>IF(Data_input!A64="","",Data_input!A64)</f>
        <v/>
      </c>
    </row>
    <row r="65" spans="1:1">
      <c r="A65" t="str">
        <f>IF(Data_input!A65="","",Data_input!A65)</f>
        <v/>
      </c>
    </row>
    <row r="66" spans="1:1">
      <c r="A66" t="str">
        <f>IF(Data_input!A66="","",Data_input!A66)</f>
        <v/>
      </c>
    </row>
  </sheetData>
  <phoneticPr fontId="1" type="noConversion"/>
  <conditionalFormatting sqref="I2:I60">
    <cfRule type="expression" dxfId="5" priority="1">
      <formula>$I2="Bad"</formula>
    </cfRule>
    <cfRule type="expression" dxfId="4" priority="2">
      <formula>$I2="Average"</formula>
    </cfRule>
    <cfRule type="expression" dxfId="3" priority="3">
      <formula>$I2="Good"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199F-8AE7-4C8D-93B6-63104FFC7284}">
  <dimension ref="A1:J66"/>
  <sheetViews>
    <sheetView topLeftCell="C1" workbookViewId="0">
      <selection activeCell="J8" sqref="J8"/>
    </sheetView>
  </sheetViews>
  <sheetFormatPr defaultRowHeight="13.8"/>
  <cols>
    <col min="1" max="1" width="12.21875" customWidth="1"/>
    <col min="2" max="2" width="14" customWidth="1"/>
    <col min="3" max="3" width="33.5546875" customWidth="1"/>
    <col min="4" max="4" width="17.109375" customWidth="1"/>
    <col min="5" max="5" width="21.88671875" customWidth="1"/>
    <col min="6" max="6" width="14" style="6" customWidth="1"/>
    <col min="7" max="7" width="14.88671875" style="6" customWidth="1"/>
    <col min="8" max="8" width="27.21875" style="6" customWidth="1"/>
    <col min="9" max="9" width="19.88671875" style="6" customWidth="1"/>
    <col min="10" max="10" width="18.21875" customWidth="1"/>
  </cols>
  <sheetData>
    <row r="1" spans="1:10">
      <c r="A1" t="s">
        <v>0</v>
      </c>
      <c r="B1" t="s">
        <v>1</v>
      </c>
      <c r="C1" t="s">
        <v>2</v>
      </c>
      <c r="D1" t="s">
        <v>11</v>
      </c>
      <c r="E1" t="s">
        <v>13</v>
      </c>
      <c r="F1" s="6" t="s">
        <v>97</v>
      </c>
      <c r="G1" s="6" t="s">
        <v>98</v>
      </c>
      <c r="H1" s="6" t="s">
        <v>99</v>
      </c>
      <c r="I1" s="6" t="s">
        <v>100</v>
      </c>
      <c r="J1" t="s">
        <v>101</v>
      </c>
    </row>
    <row r="2" spans="1:10">
      <c r="A2" t="str">
        <f>IF(Data_input!A2="","",Data_input!A2)</f>
        <v>247R1</v>
      </c>
      <c r="B2" t="str">
        <f>IF(Data_input!B2="","",Data_input!B2)</f>
        <v>250PA247R8</v>
      </c>
      <c r="C2" t="str">
        <f>IF(Data_input!C2="","",Data_input!C2)</f>
        <v>USMAN YAU</v>
      </c>
      <c r="D2" t="str">
        <f>IF(Data_input!K2="","",Data_input!K2)</f>
        <v>Full-Time</v>
      </c>
      <c r="E2" t="str">
        <f>IF(Data_input!L2="","",Data_input!L2)</f>
        <v>Ph.D. (Eng)</v>
      </c>
      <c r="F2" s="6" t="str">
        <f>IF(Data_Mark!F2="","",
   IF(Data_Mark!F2&gt;0,"1","0"))</f>
        <v>1</v>
      </c>
      <c r="G2" s="6" t="str">
        <f>IF(PPM_Student!U2="","",
   IF(PPM_Student!U2&gt;0,"1","0"))</f>
        <v>1</v>
      </c>
      <c r="H2" s="6" t="str">
        <f>IF(ISNUMBER(SEARCH("Ph.D",E2)),
    IF(OR(Data_count!F2="",Data_count!G2=""),"",
       IF(AND(Data_count!F2&lt;=720,Data_count!G2&lt;=720),"1","0")),
    IF(Data_count!F2="","",
       IF(Data_count!F2&lt;=450,"1","0"))
)</f>
        <v>1</v>
      </c>
      <c r="I2" s="6">
        <f>IF(Data_count!E2="","",IF(Data_count!E2&lt;0,0,1))</f>
        <v>1</v>
      </c>
      <c r="J2" t="str">
        <f>IF(A2="","",IF(COUNTIF(F2:I2,0)&gt;=3,"Fail","Pass"))</f>
        <v>Pass</v>
      </c>
    </row>
    <row r="3" spans="1:10">
      <c r="A3" t="str">
        <f>IF(Data_input!A3="","",Data_input!A3)</f>
        <v>247R4</v>
      </c>
      <c r="B3" t="str">
        <f>IF(Data_input!B3="","",Data_input!B3)</f>
        <v>250PA247R1</v>
      </c>
      <c r="C3" t="str">
        <f>IF(Data_input!C3="","",Data_input!C3)</f>
        <v>KHAN IRFAN</v>
      </c>
      <c r="D3" t="str">
        <f>IF(Data_input!K3="","",Data_input!K3)</f>
        <v>Full-Time</v>
      </c>
      <c r="E3" t="str">
        <f>IF(Data_input!L3="","",Data_input!L3)</f>
        <v>Ph.D. (Eng)</v>
      </c>
      <c r="F3" s="6" t="str">
        <f>IF(Data_Mark!F3="","",
   IF(Data_Mark!F3&gt;0,"1","0"))</f>
        <v>1</v>
      </c>
      <c r="G3" s="6" t="str">
        <f>IF(PPM_Student!U3="","",
   IF(PPM_Student!U3&gt;0,"1","0"))</f>
        <v>1</v>
      </c>
      <c r="H3" s="6" t="str">
        <f>IF(ISNUMBER(SEARCH("Ph.D",E3)),
    IF(OR(Data_count!F3="",Data_count!G3=""),"",
       IF(AND(Data_count!F3&lt;=720,Data_count!G3&lt;=720),"1","0")),
    IF(Data_count!F3="","",
       IF(Data_count!F3&lt;=450,"1","0"))
)</f>
        <v>1</v>
      </c>
      <c r="I3" s="6">
        <f>IF(Data_count!E3="","",IF(Data_count!E3&lt;0,0,1))</f>
        <v>1</v>
      </c>
      <c r="J3" t="str">
        <f t="shared" ref="J3:J60" si="0">IF(A3="","",IF(COUNTIF(F3:I3,0)&gt;=3,"Fail","Pass"))</f>
        <v>Pass</v>
      </c>
    </row>
    <row r="4" spans="1:10">
      <c r="A4" t="str">
        <f>IF(Data_input!A4="","",Data_input!A4)</f>
        <v>247R8</v>
      </c>
      <c r="B4" t="str">
        <f>IF(Data_input!B4="","",Data_input!B4)</f>
        <v>250PA247R2</v>
      </c>
      <c r="C4" t="str">
        <f>IF(Data_input!C4="","",Data_input!C4)</f>
        <v>JAYAKANTHAN A/L M. LACHMANAN</v>
      </c>
      <c r="D4" t="str">
        <f>IF(Data_input!K4="","",Data_input!K4)</f>
        <v>Full-Time</v>
      </c>
      <c r="E4" t="str">
        <f>IF(Data_input!L4="","",Data_input!L4)</f>
        <v>Ph.D. (Eng)</v>
      </c>
      <c r="F4" s="6" t="str">
        <f>IF(Data_Mark!F4="","",
   IF(Data_Mark!F4&gt;0,"1","0"))</f>
        <v>1</v>
      </c>
      <c r="G4" s="6" t="str">
        <f>IF(PPM_Student!U4="","",
   IF(PPM_Student!U4&gt;0,"1","0"))</f>
        <v>1</v>
      </c>
      <c r="H4" s="6" t="str">
        <f>IF(ISNUMBER(SEARCH("Ph.D",E4)),
    IF(OR(Data_count!F4="",Data_count!G4=""),"",
       IF(AND(Data_count!F4&lt;=720,Data_count!G4&lt;=720),"1","0")),
    IF(Data_count!F4="","",
       IF(Data_count!F4&lt;=450,"1","0"))
)</f>
        <v>1</v>
      </c>
      <c r="I4" s="6">
        <f>IF(Data_count!E4="","",IF(Data_count!E4&lt;0,0,1))</f>
        <v>1</v>
      </c>
      <c r="J4" t="str">
        <f t="shared" si="0"/>
        <v>Pass</v>
      </c>
    </row>
    <row r="5" spans="1:10">
      <c r="A5" t="str">
        <f>IF(Data_input!A5="","",Data_input!A5)</f>
        <v>247R3</v>
      </c>
      <c r="B5" t="str">
        <f>IF(Data_input!B5="","",Data_input!B5)</f>
        <v>250PA247R5</v>
      </c>
      <c r="C5" t="str">
        <f>IF(Data_input!C5="","",Data_input!C5)</f>
        <v>IDRIS OLALEKAN ADEOYE</v>
      </c>
      <c r="D5" t="str">
        <f>IF(Data_input!K5="","",Data_input!K5)</f>
        <v>Full-Time</v>
      </c>
      <c r="E5" t="str">
        <f>IF(Data_input!L5="","",Data_input!L5)</f>
        <v>Ph.D. (Eng)</v>
      </c>
      <c r="F5" s="6" t="str">
        <f>IF(Data_Mark!F5="","",
   IF(Data_Mark!F5&gt;0,"1","0"))</f>
        <v>1</v>
      </c>
      <c r="G5" s="6" t="str">
        <f>IF(PPM_Student!U5="","",
   IF(PPM_Student!U5&gt;0,"1","0"))</f>
        <v>1</v>
      </c>
      <c r="H5" s="6" t="str">
        <f>IF(ISNUMBER(SEARCH("Ph.D",E5)),
    IF(OR(Data_count!F5="",Data_count!G5=""),"",
       IF(AND(Data_count!F5&lt;=720,Data_count!G5&lt;=720),"1","0")),
    IF(Data_count!F5="","",
       IF(Data_count!F5&lt;=450,"1","0"))
)</f>
        <v>1</v>
      </c>
      <c r="I5" s="6">
        <f>IF(Data_count!E5="","",IF(Data_count!E5&lt;0,0,1))</f>
        <v>1</v>
      </c>
      <c r="J5" t="str">
        <f t="shared" si="0"/>
        <v>Pass</v>
      </c>
    </row>
    <row r="6" spans="1:10">
      <c r="A6" t="str">
        <f>IF(Data_input!A6="","",Data_input!A6)</f>
        <v>247R7</v>
      </c>
      <c r="B6" t="str">
        <f>IF(Data_input!B6="","",Data_input!B6)</f>
        <v>250PA247R7</v>
      </c>
      <c r="C6" t="str">
        <f>IF(Data_input!C6="","",Data_input!C6)</f>
        <v>NUHU DAN-AZUMI MUHAMMAD</v>
      </c>
      <c r="D6" t="str">
        <f>IF(Data_input!K6="","",Data_input!K6)</f>
        <v>Full-Time</v>
      </c>
      <c r="E6" t="str">
        <f>IF(Data_input!L6="","",Data_input!L6)</f>
        <v>Ph.D. (Eng)</v>
      </c>
      <c r="F6" s="6" t="str">
        <f>IF(Data_Mark!F6="","",
   IF(Data_Mark!F6&gt;0,"1","0"))</f>
        <v>1</v>
      </c>
      <c r="G6" s="6" t="str">
        <f>IF(PPM_Student!U6="","",
   IF(PPM_Student!U6&gt;0,"1","0"))</f>
        <v>1</v>
      </c>
      <c r="H6" s="6" t="str">
        <f>IF(ISNUMBER(SEARCH("Ph.D",E6)),
    IF(OR(Data_count!F6="",Data_count!G6=""),"",
       IF(AND(Data_count!F6&lt;=720,Data_count!G6&lt;=720),"1","0")),
    IF(Data_count!F6="","",
       IF(Data_count!F6&lt;=450,"1","0"))
)</f>
        <v>1</v>
      </c>
      <c r="I6" s="6">
        <f>IF(Data_count!E6="","",IF(Data_count!E6&lt;0,0,1))</f>
        <v>1</v>
      </c>
      <c r="J6" t="str">
        <f t="shared" si="0"/>
        <v>Pass</v>
      </c>
    </row>
    <row r="7" spans="1:10">
      <c r="A7" t="str">
        <f>IF(Data_input!A7="","",Data_input!A7)</f>
        <v>2508F</v>
      </c>
      <c r="B7" t="str">
        <f>IF(Data_input!B7="","",Data_input!B7)</f>
        <v>250PA257R3</v>
      </c>
      <c r="C7" t="str">
        <f>IF(Data_input!C7="","",Data_input!C7)</f>
        <v>NAZ ANUM</v>
      </c>
      <c r="D7" t="str">
        <f>IF(Data_input!K7="","",Data_input!K7)</f>
        <v>Full-Time</v>
      </c>
      <c r="E7" t="str">
        <f>IF(Data_input!L7="","",Data_input!L7)</f>
        <v>Ph.D. (Eng)</v>
      </c>
      <c r="F7" s="6" t="str">
        <f>IF(Data_Mark!F7="","",
   IF(Data_Mark!F7&gt;0,"1","0"))</f>
        <v>1</v>
      </c>
      <c r="G7" s="6" t="str">
        <f>IF(PPM_Student!U7="","",
   IF(PPM_Student!U7&gt;0,"1","0"))</f>
        <v>1</v>
      </c>
      <c r="H7" s="6" t="str">
        <f>IF(ISNUMBER(SEARCH("Ph.D",E7)),
    IF(OR(Data_count!F7="",Data_count!G7=""),"",
       IF(AND(Data_count!F7&lt;=720,Data_count!G7&lt;=720),"1","0")),
    IF(Data_count!F7="","",
       IF(Data_count!F7&lt;=450,"1","0"))
)</f>
        <v>1</v>
      </c>
      <c r="I7" s="6">
        <f>IF(Data_count!E7="","",IF(Data_count!E7&lt;0,0,1))</f>
        <v>1</v>
      </c>
      <c r="J7" t="str">
        <f t="shared" si="0"/>
        <v>Pass</v>
      </c>
    </row>
    <row r="8" spans="1:10">
      <c r="A8" t="str">
        <f>IF(Data_input!A8="","",Data_input!A8)</f>
        <v>243YN</v>
      </c>
      <c r="B8" t="str">
        <f>IF(Data_input!B8="","",Data_input!B8)</f>
        <v>250PA237R1</v>
      </c>
      <c r="C8" t="str">
        <f>IF(Data_input!C8="","",Data_input!C8)</f>
        <v>NUR SYAZA BINTI ZAKARIA</v>
      </c>
      <c r="D8" t="str">
        <f>IF(Data_input!K8="","",Data_input!K8)</f>
        <v>Full-Time</v>
      </c>
      <c r="E8" t="str">
        <f>IF(Data_input!L8="","",Data_input!L8)</f>
        <v>Ph.D. (Eng)</v>
      </c>
      <c r="F8" s="6" t="str">
        <f>IF(Data_Mark!F8="","",
   IF(Data_Mark!F8&gt;0,"1","0"))</f>
        <v>0</v>
      </c>
      <c r="G8" s="6" t="str">
        <f>IF(PPM_Student!U8="","",
   IF(PPM_Student!U8&gt;0,"1","0"))</f>
        <v>0</v>
      </c>
      <c r="H8" s="6" t="str">
        <f>IF(ISNUMBER(SEARCH("Ph.D",E8)),
    IF(OR(Data_count!F8="",Data_count!G8=""),"",
       IF(AND(Data_count!F8&lt;=720,Data_count!G8&lt;=720),"1","0")),
    IF(Data_count!F8="","",
       IF(Data_count!F8&lt;=450,"1","0"))
)</f>
        <v>0</v>
      </c>
      <c r="I8" s="6">
        <f>IF(Data_count!E8="","",IF(Data_count!E8&lt;0,0,1))</f>
        <v>0</v>
      </c>
      <c r="J8" t="str">
        <f t="shared" si="0"/>
        <v>Fail</v>
      </c>
    </row>
    <row r="9" spans="1:10">
      <c r="A9" t="str">
        <f>IF(Data_input!A9="","",Data_input!A9)</f>
        <v>251D4</v>
      </c>
      <c r="B9" t="str">
        <f>IF(Data_input!B9="","",Data_input!B9)</f>
        <v>250PK242QD</v>
      </c>
      <c r="C9" t="str">
        <f>IF(Data_input!C9="","",Data_input!C9)</f>
        <v>YANG XIAO</v>
      </c>
      <c r="D9" t="str">
        <f>IF(Data_input!K9="","",Data_input!K9)</f>
        <v>Full-Time</v>
      </c>
      <c r="E9" t="str">
        <f>IF(Data_input!L9="","",Data_input!L9)</f>
        <v>Ph.D. (Communication)</v>
      </c>
      <c r="F9" s="6" t="str">
        <f>IF(Data_Mark!F9="","",
   IF(Data_Mark!F9&gt;0,"1","0"))</f>
        <v>0</v>
      </c>
      <c r="G9" s="6" t="str">
        <f>IF(PPM_Student!U9="","",
   IF(PPM_Student!U9&gt;0,"1","0"))</f>
        <v>0</v>
      </c>
      <c r="H9" s="6" t="str">
        <f>IF(ISNUMBER(SEARCH("Ph.D",E9)),
    IF(OR(Data_count!F9="",Data_count!G9=""),"",
       IF(AND(Data_count!F9&lt;=720,Data_count!G9&lt;=720),"1","0")),
    IF(Data_count!F9="","",
       IF(Data_count!F9&lt;=450,"1","0"))
)</f>
        <v>0</v>
      </c>
      <c r="I9" s="6">
        <f>IF(Data_count!E9="","",IF(Data_count!E9&lt;0,0,1))</f>
        <v>0</v>
      </c>
      <c r="J9" t="str">
        <f t="shared" si="0"/>
        <v>Fail</v>
      </c>
    </row>
    <row r="10" spans="1:10">
      <c r="A10" t="str">
        <f>IF(Data_input!A10="","",Data_input!A10)</f>
        <v>2458H</v>
      </c>
      <c r="B10" t="str">
        <f>IF(Data_input!B10="","",Data_input!B10)</f>
        <v>250PK232QD</v>
      </c>
      <c r="C10" t="str">
        <f>IF(Data_input!C10="","",Data_input!C10)</f>
        <v>MD MUSLIM UDDIN AHMED PIPUL</v>
      </c>
      <c r="D10" t="str">
        <f>IF(Data_input!K10="","",Data_input!K10)</f>
        <v>Full-Time</v>
      </c>
      <c r="E10" t="str">
        <f>IF(Data_input!L10="","",Data_input!L10)</f>
        <v>Ph.D. (Communication)</v>
      </c>
      <c r="F10" s="6" t="str">
        <f>IF(Data_Mark!F10="","",
   IF(Data_Mark!F10&gt;0,"1","0"))</f>
        <v>0</v>
      </c>
      <c r="G10" s="6" t="str">
        <f>IF(PPM_Student!U10="","",
   IF(PPM_Student!U10&gt;0,"1","0"))</f>
        <v>0</v>
      </c>
      <c r="H10" s="6" t="str">
        <f>IF(ISNUMBER(SEARCH("Ph.D",E10)),
    IF(OR(Data_count!F10="",Data_count!G10=""),"",
       IF(AND(Data_count!F10&lt;=720,Data_count!G10&lt;=720),"1","0")),
    IF(Data_count!F10="","",
       IF(Data_count!F10&lt;=450,"1","0"))
)</f>
        <v>0</v>
      </c>
      <c r="I10" s="6">
        <f>IF(Data_count!E10="","",IF(Data_count!E10&lt;0,0,1))</f>
        <v>0</v>
      </c>
      <c r="J10" t="str">
        <f t="shared" si="0"/>
        <v>Fail</v>
      </c>
    </row>
    <row r="11" spans="1:10">
      <c r="A11" t="str">
        <f>IF(Data_input!A11="","",Data_input!A11)</f>
        <v>252QD</v>
      </c>
      <c r="B11" t="str">
        <f>IF(Data_input!B11="","",Data_input!B11)</f>
        <v>250PK222QD</v>
      </c>
      <c r="C11" t="str">
        <f>IF(Data_input!C11="","",Data_input!C11)</f>
        <v>JOANNA A/P JAYAPRAKASH</v>
      </c>
      <c r="D11" t="str">
        <f>IF(Data_input!K11="","",Data_input!K11)</f>
        <v>Full-Time</v>
      </c>
      <c r="E11" t="str">
        <f>IF(Data_input!L11="","",Data_input!L11)</f>
        <v>Ph.D. (Communication)</v>
      </c>
      <c r="F11" s="6" t="str">
        <f>IF(Data_Mark!F11="","",
   IF(Data_Mark!F11&gt;0,"1","0"))</f>
        <v>0</v>
      </c>
      <c r="G11" s="6" t="str">
        <f>IF(PPM_Student!U11="","",
   IF(PPM_Student!U11&gt;0,"1","0"))</f>
        <v>0</v>
      </c>
      <c r="H11" s="6" t="str">
        <f>IF(ISNUMBER(SEARCH("Ph.D",E11)),
    IF(OR(Data_count!F11="",Data_count!G11=""),"",
       IF(AND(Data_count!F11&lt;=720,Data_count!G11&lt;=720),"1","0")),
    IF(Data_count!F11="","",
       IF(Data_count!F11&lt;=450,"1","0"))
)</f>
        <v>0</v>
      </c>
      <c r="I11" s="6">
        <f>IF(Data_count!E11="","",IF(Data_count!E11&lt;0,0,1))</f>
        <v>0</v>
      </c>
      <c r="J11" t="str">
        <f t="shared" si="0"/>
        <v>Fail</v>
      </c>
    </row>
    <row r="12" spans="1:10">
      <c r="A12" t="str">
        <f>IF(Data_input!A12="","",Data_input!A12)</f>
        <v>243YN</v>
      </c>
      <c r="B12" t="str">
        <f>IF(Data_input!B12="","",Data_input!B12)</f>
        <v>250PK212QD</v>
      </c>
      <c r="C12" t="str">
        <f>IF(Data_input!C12="","",Data_input!C12)</f>
        <v>HAMZA BASHER ALAMIN BARKA</v>
      </c>
      <c r="D12" t="str">
        <f>IF(Data_input!K12="","",Data_input!K12)</f>
        <v>Part-Time</v>
      </c>
      <c r="E12" t="str">
        <f>IF(Data_input!L12="","",Data_input!L12)</f>
        <v>Ph.D. (Communication)</v>
      </c>
      <c r="F12" s="6" t="str">
        <f>IF(Data_Mark!F12="","",
   IF(Data_Mark!F12&gt;0,"1","0"))</f>
        <v>1</v>
      </c>
      <c r="G12" s="6" t="str">
        <f>IF(PPM_Student!U12="","",
   IF(PPM_Student!U12&gt;0,"1","0"))</f>
        <v>1</v>
      </c>
      <c r="H12" s="6" t="str">
        <f>IF(ISNUMBER(SEARCH("Ph.D",E12)),
    IF(OR(Data_count!F12="",Data_count!G12=""),"",
       IF(AND(Data_count!F12&lt;=720,Data_count!G12&lt;=720),"1","0")),
    IF(Data_count!F12="","",
       IF(Data_count!F12&lt;=450,"1","0"))
)</f>
        <v>1</v>
      </c>
      <c r="I12" s="6">
        <f>IF(Data_count!E12="","",IF(Data_count!E12&lt;0,0,1))</f>
        <v>1</v>
      </c>
      <c r="J12" t="str">
        <f t="shared" si="0"/>
        <v>Pass</v>
      </c>
    </row>
    <row r="13" spans="1:10">
      <c r="A13" t="str">
        <f>IF(Data_input!A13="","",Data_input!A13)</f>
        <v>247R7</v>
      </c>
      <c r="B13" t="str">
        <f>IF(Data_input!B13="","",Data_input!B13)</f>
        <v>250PK272QD</v>
      </c>
      <c r="C13" t="str">
        <f>IF(Data_input!C13="","",Data_input!C13)</f>
        <v>NAHIDA FERDOUS</v>
      </c>
      <c r="D13" t="str">
        <f>IF(Data_input!K13="","",Data_input!K13)</f>
        <v>Part-Time</v>
      </c>
      <c r="E13" t="str">
        <f>IF(Data_input!L13="","",Data_input!L13)</f>
        <v>Ph.D. (Communication)</v>
      </c>
      <c r="F13" s="6" t="str">
        <f>IF(Data_Mark!F13="","",
   IF(Data_Mark!F13&gt;0,"1","0"))</f>
        <v>1</v>
      </c>
      <c r="G13" s="6" t="str">
        <f>IF(PPM_Student!U13="","",
   IF(PPM_Student!U13&gt;0,"1","0"))</f>
        <v>1</v>
      </c>
      <c r="H13" s="6" t="str">
        <f>IF(ISNUMBER(SEARCH("Ph.D",E13)),
    IF(OR(Data_count!F13="",Data_count!G13=""),"",
       IF(AND(Data_count!F13&lt;=720,Data_count!G13&lt;=720),"1","0")),
    IF(Data_count!F13="","",
       IF(Data_count!F13&lt;=450,"1","0"))
)</f>
        <v>1</v>
      </c>
      <c r="I13" s="6">
        <f>IF(Data_count!E13="","",IF(Data_count!E13&lt;0,0,1))</f>
        <v>1</v>
      </c>
      <c r="J13" t="str">
        <f t="shared" si="0"/>
        <v>Pass</v>
      </c>
    </row>
    <row r="14" spans="1:10">
      <c r="A14" t="str">
        <f>IF(Data_input!A14="","",Data_input!A14)</f>
        <v>2458H</v>
      </c>
      <c r="B14" t="str">
        <f>IF(Data_input!B14="","",Data_input!B14)</f>
        <v>250PK251QD</v>
      </c>
      <c r="C14" t="str">
        <f>IF(Data_input!C14="","",Data_input!C14)</f>
        <v>NAHIDA ANUM</v>
      </c>
      <c r="D14" t="str">
        <f>IF(Data_input!K14="","",Data_input!K14)</f>
        <v>Part-Time</v>
      </c>
      <c r="E14" t="str">
        <f>IF(Data_input!L14="","",Data_input!L14)</f>
        <v>Ph.D. (Communication)</v>
      </c>
      <c r="F14" s="6" t="str">
        <f>IF(Data_Mark!F14="","",
   IF(Data_Mark!F14&gt;0,"1","0"))</f>
        <v>1</v>
      </c>
      <c r="G14" s="6" t="str">
        <f>IF(PPM_Student!U14="","",
   IF(PPM_Student!U14&gt;0,"1","0"))</f>
        <v>1</v>
      </c>
      <c r="H14" s="6" t="str">
        <f>IF(ISNUMBER(SEARCH("Ph.D",E14)),
    IF(OR(Data_count!F14="",Data_count!G14=""),"",
       IF(AND(Data_count!F14&lt;=720,Data_count!G14&lt;=720),"1","0")),
    IF(Data_count!F14="","",
       IF(Data_count!F14&lt;=450,"1","0"))
)</f>
        <v>1</v>
      </c>
      <c r="I14" s="6">
        <f>IF(Data_count!E14="","",IF(Data_count!E14&lt;0,0,1))</f>
        <v>1</v>
      </c>
      <c r="J14" t="str">
        <f t="shared" si="0"/>
        <v>Pass</v>
      </c>
    </row>
    <row r="15" spans="1:10">
      <c r="A15" t="str">
        <f>IF(Data_input!A15="","",Data_input!A15)</f>
        <v>245YK</v>
      </c>
      <c r="B15" t="str">
        <f>IF(Data_input!B15="","",Data_input!B15)</f>
        <v>250PB252PD</v>
      </c>
      <c r="C15" t="str">
        <f>IF(Data_input!C15="","",Data_input!C15)</f>
        <v>KHAN FERDOUS</v>
      </c>
      <c r="D15" t="str">
        <f>IF(Data_input!K15="","",Data_input!K15)</f>
        <v>Part-Time</v>
      </c>
      <c r="E15" t="str">
        <f>IF(Data_input!L15="","",Data_input!L15)</f>
        <v>Ph.D. (Mgmt.)</v>
      </c>
      <c r="F15" s="6" t="str">
        <f>IF(Data_Mark!F15="","",
   IF(Data_Mark!F15&gt;0,"1","0"))</f>
        <v>1</v>
      </c>
      <c r="G15" s="6" t="str">
        <f>IF(PPM_Student!U15="","",
   IF(PPM_Student!U15&gt;0,"1","0"))</f>
        <v>1</v>
      </c>
      <c r="H15" s="6" t="str">
        <f>IF(ISNUMBER(SEARCH("Ph.D",E15)),
    IF(OR(Data_count!F15="",Data_count!G15=""),"",
       IF(AND(Data_count!F15&lt;=720,Data_count!G15&lt;=720),"1","0")),
    IF(Data_count!F15="","",
       IF(Data_count!F15&lt;=450,"1","0"))
)</f>
        <v>1</v>
      </c>
      <c r="I15" s="6">
        <f>IF(Data_count!E15="","",IF(Data_count!E15&lt;0,0,1))</f>
        <v>1</v>
      </c>
      <c r="J15" t="str">
        <f t="shared" si="0"/>
        <v>Pass</v>
      </c>
    </row>
    <row r="16" spans="1:10">
      <c r="A16" t="str">
        <f>IF(Data_input!A16="","",Data_input!A16)</f>
        <v>245ZK</v>
      </c>
      <c r="B16" t="str">
        <f>IF(Data_input!B16="","",Data_input!B16)</f>
        <v>250PB244PD</v>
      </c>
      <c r="C16" t="str">
        <f>IF(Data_input!C16="","",Data_input!C16)</f>
        <v>PUARA A/P LACHMANAN</v>
      </c>
      <c r="D16" t="str">
        <f>IF(Data_input!K16="","",Data_input!K16)</f>
        <v>Part-Time</v>
      </c>
      <c r="E16" t="str">
        <f>IF(Data_input!L16="","",Data_input!L16)</f>
        <v>Ph.D. (Mgmt.)</v>
      </c>
      <c r="F16" s="6" t="str">
        <f>IF(Data_Mark!F16="","",
   IF(Data_Mark!F16&gt;0,"1","0"))</f>
        <v>1</v>
      </c>
      <c r="G16" s="6" t="str">
        <f>IF(PPM_Student!U16="","",
   IF(PPM_Student!U16&gt;0,"1","0"))</f>
        <v>1</v>
      </c>
      <c r="H16" s="6" t="str">
        <f>IF(ISNUMBER(SEARCH("Ph.D",E16)),
    IF(OR(Data_count!F16="",Data_count!G16=""),"",
       IF(AND(Data_count!F16&lt;=720,Data_count!G16&lt;=720),"1","0")),
    IF(Data_count!F16="","",
       IF(Data_count!F16&lt;=450,"1","0"))
)</f>
        <v>1</v>
      </c>
      <c r="I16" s="6">
        <f>IF(Data_count!E16="","",IF(Data_count!E16&lt;0,0,1))</f>
        <v>1</v>
      </c>
      <c r="J16" t="str">
        <f t="shared" si="0"/>
        <v>Pass</v>
      </c>
    </row>
    <row r="17" spans="1:10">
      <c r="A17" t="str">
        <f>IF(Data_input!A17="","",Data_input!A17)</f>
        <v>245RK</v>
      </c>
      <c r="B17" t="str">
        <f>IF(Data_input!B17="","",Data_input!B17)</f>
        <v>250PB258PD</v>
      </c>
      <c r="C17" t="str">
        <f>IF(Data_input!C17="","",Data_input!C17)</f>
        <v>YONG YU KIN</v>
      </c>
      <c r="D17" t="str">
        <f>IF(Data_input!K17="","",Data_input!K17)</f>
        <v>Part-Time</v>
      </c>
      <c r="E17" t="str">
        <f>IF(Data_input!L17="","",Data_input!L17)</f>
        <v>Ph.D. (Mgmt.)</v>
      </c>
      <c r="F17" s="6" t="str">
        <f>IF(Data_Mark!F17="","",
   IF(Data_Mark!F17&gt;0,"1","0"))</f>
        <v>1</v>
      </c>
      <c r="G17" s="6" t="str">
        <f>IF(PPM_Student!U17="","",
   IF(PPM_Student!U17&gt;0,"1","0"))</f>
        <v>1</v>
      </c>
      <c r="H17" s="6" t="str">
        <f>IF(ISNUMBER(SEARCH("Ph.D",E17)),
    IF(OR(Data_count!F17="",Data_count!G17=""),"",
       IF(AND(Data_count!F17&lt;=720,Data_count!G17&lt;=720),"1","0")),
    IF(Data_count!F17="","",
       IF(Data_count!F17&lt;=450,"1","0"))
)</f>
        <v>1</v>
      </c>
      <c r="I17" s="6">
        <f>IF(Data_count!E17="","",IF(Data_count!E17&lt;0,0,1))</f>
        <v>1</v>
      </c>
      <c r="J17" t="str">
        <f t="shared" si="0"/>
        <v>Pass</v>
      </c>
    </row>
    <row r="18" spans="1:10">
      <c r="A18" t="str">
        <f>IF(Data_input!A18="","",Data_input!A18)</f>
        <v>247R7</v>
      </c>
      <c r="B18" t="str">
        <f>IF(Data_input!B18="","",Data_input!B18)</f>
        <v>250PB259PD</v>
      </c>
      <c r="C18" t="str">
        <f>IF(Data_input!C18="","",Data_input!C18)</f>
        <v>WONG KIN HUAT</v>
      </c>
      <c r="D18" t="str">
        <f>IF(Data_input!K18="","",Data_input!K18)</f>
        <v>Part-Time</v>
      </c>
      <c r="E18" t="str">
        <f>IF(Data_input!L18="","",Data_input!L18)</f>
        <v>Ph.D. (Mgmt.)</v>
      </c>
      <c r="F18" s="6" t="str">
        <f>IF(Data_Mark!F18="","",
   IF(Data_Mark!F18&gt;0,"1","0"))</f>
        <v>1</v>
      </c>
      <c r="G18" s="6" t="str">
        <f>IF(PPM_Student!U18="","",
   IF(PPM_Student!U18&gt;0,"1","0"))</f>
        <v>1</v>
      </c>
      <c r="H18" s="6" t="str">
        <f>IF(ISNUMBER(SEARCH("Ph.D",E18)),
    IF(OR(Data_count!F18="",Data_count!G18=""),"",
       IF(AND(Data_count!F18&lt;=720,Data_count!G18&lt;=720),"1","0")),
    IF(Data_count!F18="","",
       IF(Data_count!F18&lt;=450,"1","0"))
)</f>
        <v>0</v>
      </c>
      <c r="I18" s="6">
        <f>IF(Data_count!E18="","",IF(Data_count!E18&lt;0,0,1))</f>
        <v>0</v>
      </c>
      <c r="J18" t="str">
        <f t="shared" si="0"/>
        <v>Pass</v>
      </c>
    </row>
    <row r="19" spans="1:10">
      <c r="A19" t="str">
        <f>IF(Data_input!A19="","",Data_input!A19)</f>
        <v>247R8</v>
      </c>
      <c r="B19" t="str">
        <f>IF(Data_input!B19="","",Data_input!B19)</f>
        <v>250PB260PD</v>
      </c>
      <c r="C19" t="str">
        <f>IF(Data_input!C19="","",Data_input!C19)</f>
        <v>WONG KANG JUN</v>
      </c>
      <c r="D19" t="str">
        <f>IF(Data_input!K19="","",Data_input!K19)</f>
        <v>Part-Time</v>
      </c>
      <c r="E19" t="str">
        <f>IF(Data_input!L19="","",Data_input!L19)</f>
        <v>Ph.D. (Mgmt.)</v>
      </c>
      <c r="F19" s="6" t="str">
        <f>IF(Data_Mark!F19="","",
   IF(Data_Mark!F19&gt;0,"1","0"))</f>
        <v>1</v>
      </c>
      <c r="G19" s="6" t="str">
        <f>IF(PPM_Student!U19="","",
   IF(PPM_Student!U19&gt;0,"1","0"))</f>
        <v>0</v>
      </c>
      <c r="H19" s="6" t="str">
        <f>IF(ISNUMBER(SEARCH("Ph.D",E19)),
    IF(OR(Data_count!F19="",Data_count!G19=""),"",
       IF(AND(Data_count!F19&lt;=720,Data_count!G19&lt;=720),"1","0")),
    IF(Data_count!F19="","",
       IF(Data_count!F19&lt;=450,"1","0"))
)</f>
        <v>0</v>
      </c>
      <c r="I19" s="6">
        <f>IF(Data_count!E19="","",IF(Data_count!E19&lt;0,0,1))</f>
        <v>0</v>
      </c>
      <c r="J19" t="str">
        <f t="shared" si="0"/>
        <v>Fail</v>
      </c>
    </row>
    <row r="20" spans="1:10">
      <c r="A20" t="str">
        <f>IF(Data_input!A20="","",Data_input!A20)</f>
        <v>247R9</v>
      </c>
      <c r="B20" t="str">
        <f>IF(Data_input!B20="","",Data_input!B20)</f>
        <v>250PA213RK</v>
      </c>
      <c r="C20" t="str">
        <f>IF(Data_input!C20="","",Data_input!C20)</f>
        <v xml:space="preserve">AHMAD FAISAL BIN YUSOF  </v>
      </c>
      <c r="D20" t="str">
        <f>IF(Data_input!K20="","",Data_input!K20)</f>
        <v>Part-Time</v>
      </c>
      <c r="E20" t="str">
        <f>IF(Data_input!L20="","",Data_input!L20)</f>
        <v>Ph.D. (Mgmt.)</v>
      </c>
      <c r="F20" s="6" t="str">
        <f>IF(Data_Mark!F20="","",
   IF(Data_Mark!F20&gt;0,"1","0"))</f>
        <v>0</v>
      </c>
      <c r="G20" s="6" t="str">
        <f>IF(PPM_Student!U20="","",
   IF(PPM_Student!U20&gt;0,"1","0"))</f>
        <v>0</v>
      </c>
      <c r="H20" s="6" t="str">
        <f>IF(ISNUMBER(SEARCH("Ph.D",E20)),
    IF(OR(Data_count!F20="",Data_count!G20=""),"",
       IF(AND(Data_count!F20&lt;=720,Data_count!G20&lt;=720),"1","0")),
    IF(Data_count!F20="","",
       IF(Data_count!F20&lt;=450,"1","0"))
)</f>
        <v>0</v>
      </c>
      <c r="I20" s="6">
        <f>IF(Data_count!E20="","",IF(Data_count!E20&lt;0,0,1))</f>
        <v>0</v>
      </c>
      <c r="J20" t="str">
        <f t="shared" si="0"/>
        <v>Fail</v>
      </c>
    </row>
    <row r="21" spans="1:10">
      <c r="A21" t="str">
        <f>IF(Data_input!A21="","",Data_input!A21)</f>
        <v>243A9</v>
      </c>
      <c r="B21" t="str">
        <f>IF(Data_input!B21="","",Data_input!B21)</f>
        <v>250PK245T1</v>
      </c>
      <c r="C21" t="str">
        <f>IF(Data_input!C21="","",Data_input!C21)</f>
        <v>HANG JIA YEE</v>
      </c>
      <c r="D21" t="str">
        <f>IF(Data_input!K21="","",Data_input!K21)</f>
        <v>Full-Time</v>
      </c>
      <c r="E21" t="str">
        <f>IF(Data_input!L21="","",Data_input!L21)</f>
        <v>Master (Mgmt)</v>
      </c>
      <c r="F21" s="6" t="str">
        <f>IF(Data_Mark!F21="","",
   IF(Data_Mark!F21&gt;0,"1","0"))</f>
        <v>1</v>
      </c>
      <c r="G21" s="6" t="str">
        <f>IF(PPM_Student!U21="","",
   IF(PPM_Student!U21&gt;0,"1","0"))</f>
        <v>0</v>
      </c>
      <c r="H21" s="6" t="str">
        <f>IF(ISNUMBER(SEARCH("Ph.D",E21)),
    IF(OR(Data_count!F21="",Data_count!G21=""),"",
       IF(AND(Data_count!F21&lt;=720,Data_count!G21&lt;=720),"1","0")),
    IF(Data_count!F21="","",
       IF(Data_count!F21&lt;=450,"1","0"))
)</f>
        <v>1</v>
      </c>
      <c r="I21" s="6">
        <f>IF(Data_count!E21="","",IF(Data_count!E21&lt;0,0,1))</f>
        <v>1</v>
      </c>
      <c r="J21" t="str">
        <f t="shared" si="0"/>
        <v>Pass</v>
      </c>
    </row>
    <row r="22" spans="1:10">
      <c r="A22" t="str">
        <f>IF(Data_input!A22="","",Data_input!A22)</f>
        <v>248RK</v>
      </c>
      <c r="B22" t="str">
        <f>IF(Data_input!B22="","",Data_input!B22)</f>
        <v>250PH272RM</v>
      </c>
      <c r="C22" t="str">
        <f>IF(Data_input!C22="","",Data_input!C22)</f>
        <v xml:space="preserve">LEE KOK MING  </v>
      </c>
      <c r="D22" t="str">
        <f>IF(Data_input!K22="","",Data_input!K22)</f>
        <v>Full-Time</v>
      </c>
      <c r="E22" t="str">
        <f>IF(Data_input!L22="","",Data_input!L22)</f>
        <v>Master (Mgmt)</v>
      </c>
      <c r="F22" s="6" t="str">
        <f>IF(Data_Mark!F22="","",
   IF(Data_Mark!F22&gt;0,"1","0"))</f>
        <v>1</v>
      </c>
      <c r="G22" s="6" t="str">
        <f>IF(PPM_Student!U22="","",
   IF(PPM_Student!U22&gt;0,"1","0"))</f>
        <v>1</v>
      </c>
      <c r="H22" s="6" t="str">
        <f>IF(ISNUMBER(SEARCH("Ph.D",E22)),
    IF(OR(Data_count!F22="",Data_count!G22=""),"",
       IF(AND(Data_count!F22&lt;=720,Data_count!G22&lt;=720),"1","0")),
    IF(Data_count!F22="","",
       IF(Data_count!F22&lt;=450,"1","0"))
)</f>
        <v>1</v>
      </c>
      <c r="I22" s="6">
        <f>IF(Data_count!E22="","",IF(Data_count!E22&lt;0,0,1))</f>
        <v>1</v>
      </c>
      <c r="J22" t="str">
        <f t="shared" si="0"/>
        <v>Pass</v>
      </c>
    </row>
    <row r="23" spans="1:10">
      <c r="A23" t="str">
        <f>IF(Data_input!A23="","",Data_input!A23)</f>
        <v>249YH</v>
      </c>
      <c r="B23" t="str">
        <f>IF(Data_input!B23="","",Data_input!B23)</f>
        <v>250PN281Q2</v>
      </c>
      <c r="C23" t="str">
        <f>IF(Data_input!C23="","",Data_input!C23)</f>
        <v>SITI NUR AIN BINTI RAHMAN</v>
      </c>
      <c r="D23" t="str">
        <f>IF(Data_input!K23="","",Data_input!K23)</f>
        <v>Full-Time</v>
      </c>
      <c r="E23" t="str">
        <f>IF(Data_input!L23="","",Data_input!L23)</f>
        <v>Master (Mgmt)</v>
      </c>
      <c r="F23" s="6" t="str">
        <f>IF(Data_Mark!F23="","",
   IF(Data_Mark!F23&gt;0,"1","0"))</f>
        <v>1</v>
      </c>
      <c r="G23" s="6" t="str">
        <f>IF(PPM_Student!U23="","",
   IF(PPM_Student!U23&gt;0,"1","0"))</f>
        <v>1</v>
      </c>
      <c r="H23" s="6" t="str">
        <f>IF(ISNUMBER(SEARCH("Ph.D",E23)),
    IF(OR(Data_count!F23="",Data_count!G23=""),"",
       IF(AND(Data_count!F23&lt;=720,Data_count!G23&lt;=720),"1","0")),
    IF(Data_count!F23="","",
       IF(Data_count!F23&lt;=450,"1","0"))
)</f>
        <v>1</v>
      </c>
      <c r="I23" s="6">
        <f>IF(Data_count!E23="","",IF(Data_count!E23&lt;0,0,1))</f>
        <v>1</v>
      </c>
      <c r="J23" t="str">
        <f t="shared" si="0"/>
        <v>Pass</v>
      </c>
    </row>
    <row r="24" spans="1:10">
      <c r="A24" t="str">
        <f>IF(Data_input!A24="","",Data_input!A24)</f>
        <v>2468Z</v>
      </c>
      <c r="B24" t="str">
        <f>IF(Data_input!B24="","",Data_input!B24)</f>
        <v>250PM269QD</v>
      </c>
      <c r="C24" t="str">
        <f>IF(Data_input!C24="","",Data_input!C24)</f>
        <v xml:space="preserve">RAHUL KUMAR SINGH  </v>
      </c>
      <c r="D24" t="str">
        <f>IF(Data_input!K24="","",Data_input!K24)</f>
        <v>Full-Time</v>
      </c>
      <c r="E24" t="str">
        <f>IF(Data_input!L24="","",Data_input!L24)</f>
        <v>Master (Mgmt)</v>
      </c>
      <c r="F24" s="6" t="str">
        <f>IF(Data_Mark!F24="","",
   IF(Data_Mark!F24&gt;0,"1","0"))</f>
        <v>1</v>
      </c>
      <c r="G24" s="6" t="str">
        <f>IF(PPM_Student!U24="","",
   IF(PPM_Student!U24&gt;0,"1","0"))</f>
        <v>1</v>
      </c>
      <c r="H24" s="6" t="str">
        <f>IF(ISNUMBER(SEARCH("Ph.D",E24)),
    IF(OR(Data_count!F24="",Data_count!G24=""),"",
       IF(AND(Data_count!F24&lt;=720,Data_count!G24&lt;=720),"1","0")),
    IF(Data_count!F24="","",
       IF(Data_count!F24&lt;=450,"1","0"))
)</f>
        <v>1</v>
      </c>
      <c r="I24" s="6">
        <f>IF(Data_count!E24="","",IF(Data_count!E24&lt;0,0,1))</f>
        <v>1</v>
      </c>
      <c r="J24" t="str">
        <f t="shared" si="0"/>
        <v>Pass</v>
      </c>
    </row>
    <row r="25" spans="1:10">
      <c r="A25" t="str">
        <f>IF(Data_input!A25="","",Data_input!A25)</f>
        <v>247JK</v>
      </c>
      <c r="B25" t="str">
        <f>IF(Data_input!B25="","",Data_input!B25)</f>
        <v>250PJ258RD</v>
      </c>
      <c r="C25" t="str">
        <f>IF(Data_input!C25="","",Data_input!C25)</f>
        <v xml:space="preserve">CHAN WEI HONG  </v>
      </c>
      <c r="D25" t="str">
        <f>IF(Data_input!K25="","",Data_input!K25)</f>
        <v>Full-Time</v>
      </c>
      <c r="E25" t="str">
        <f>IF(Data_input!L25="","",Data_input!L25)</f>
        <v>Master (Law)</v>
      </c>
      <c r="F25" s="6" t="str">
        <f>IF(Data_Mark!F25="","",
   IF(Data_Mark!F25&gt;0,"1","0"))</f>
        <v>1</v>
      </c>
      <c r="G25" s="6" t="str">
        <f>IF(PPM_Student!U25="","",
   IF(PPM_Student!U25&gt;0,"1","0"))</f>
        <v>1</v>
      </c>
      <c r="H25" s="6" t="str">
        <f>IF(ISNUMBER(SEARCH("Ph.D",E25)),
    IF(OR(Data_count!F25="",Data_count!G25=""),"",
       IF(AND(Data_count!F25&lt;=720,Data_count!G25&lt;=720),"1","0")),
    IF(Data_count!F25="","",
       IF(Data_count!F25&lt;=450,"1","0"))
)</f>
        <v>1</v>
      </c>
      <c r="I25" s="6">
        <f>IF(Data_count!E25="","",IF(Data_count!E25&lt;0,0,1))</f>
        <v>1</v>
      </c>
      <c r="J25" t="str">
        <f t="shared" si="0"/>
        <v>Pass</v>
      </c>
    </row>
    <row r="26" spans="1:10">
      <c r="A26" t="str">
        <f>IF(Data_input!A26="","",Data_input!A26)</f>
        <v>245PL</v>
      </c>
      <c r="B26" t="str">
        <f>IF(Data_input!B26="","",Data_input!B26)</f>
        <v>250PL293T1</v>
      </c>
      <c r="C26" t="str">
        <f>IF(Data_input!C26="","",Data_input!C26)</f>
        <v xml:space="preserve">NURUL HUDA BINTI AZIZ  </v>
      </c>
      <c r="D26" t="str">
        <f>IF(Data_input!K26="","",Data_input!K26)</f>
        <v>Full-Time</v>
      </c>
      <c r="E26" t="str">
        <f>IF(Data_input!L26="","",Data_input!L26)</f>
        <v>Master (Law)</v>
      </c>
      <c r="F26" s="6" t="str">
        <f>IF(Data_Mark!F26="","",
   IF(Data_Mark!F26&gt;0,"1","0"))</f>
        <v>1</v>
      </c>
      <c r="G26" s="6" t="str">
        <f>IF(PPM_Student!U26="","",
   IF(PPM_Student!U26&gt;0,"1","0"))</f>
        <v>1</v>
      </c>
      <c r="H26" s="6" t="str">
        <f>IF(ISNUMBER(SEARCH("Ph.D",E26)),
    IF(OR(Data_count!F26="",Data_count!G26=""),"",
       IF(AND(Data_count!F26&lt;=720,Data_count!G26&lt;=720),"1","0")),
    IF(Data_count!F26="","",
       IF(Data_count!F26&lt;=450,"1","0"))
)</f>
        <v>1</v>
      </c>
      <c r="I26" s="6">
        <f>IF(Data_count!E26="","",IF(Data_count!E26&lt;0,0,1))</f>
        <v>1</v>
      </c>
      <c r="J26" t="str">
        <f t="shared" si="0"/>
        <v>Pass</v>
      </c>
    </row>
    <row r="27" spans="1:10">
      <c r="A27" t="str">
        <f>IF(Data_input!A27="","",Data_input!A27)</f>
        <v>244XM</v>
      </c>
      <c r="B27" t="str">
        <f>IF(Data_input!B27="","",Data_input!B27)</f>
        <v>250PR241PD</v>
      </c>
      <c r="C27" t="str">
        <f>IF(Data_input!C27="","",Data_input!C27)</f>
        <v xml:space="preserve">MOHAMMAD ALI KHAN </v>
      </c>
      <c r="D27" t="str">
        <f>IF(Data_input!K27="","",Data_input!K27)</f>
        <v>Full-Time</v>
      </c>
      <c r="E27" t="str">
        <f>IF(Data_input!L27="","",Data_input!L27)</f>
        <v>Master (Law)</v>
      </c>
      <c r="F27" s="6" t="str">
        <f>IF(Data_Mark!F27="","",
   IF(Data_Mark!F27&gt;0,"1","0"))</f>
        <v>0</v>
      </c>
      <c r="G27" s="6" t="str">
        <f>IF(PPM_Student!U27="","",
   IF(PPM_Student!U27&gt;0,"1","0"))</f>
        <v>1</v>
      </c>
      <c r="H27" s="6" t="str">
        <f>IF(ISNUMBER(SEARCH("Ph.D",E27)),
    IF(OR(Data_count!F27="",Data_count!G27=""),"",
       IF(AND(Data_count!F27&lt;=720,Data_count!G27&lt;=720),"1","0")),
    IF(Data_count!F27="","",
       IF(Data_count!F27&lt;=450,"1","0"))
)</f>
        <v>0</v>
      </c>
      <c r="I27" s="6">
        <f>IF(Data_count!E27="","",IF(Data_count!E27&lt;0,0,1))</f>
        <v>0</v>
      </c>
      <c r="J27" t="str">
        <f t="shared" si="0"/>
        <v>Fail</v>
      </c>
    </row>
    <row r="28" spans="1:10">
      <c r="A28" t="str">
        <f>IF(Data_input!A28="","",Data_input!A28)</f>
        <v>2495N</v>
      </c>
      <c r="B28" t="str">
        <f>IF(Data_input!B28="","",Data_input!B28)</f>
        <v>250PB237QK</v>
      </c>
      <c r="C28" t="str">
        <f>IF(Data_input!C28="","",Data_input!C28)</f>
        <v xml:space="preserve">TAN JIA WEI  </v>
      </c>
      <c r="D28" t="str">
        <f>IF(Data_input!K28="","",Data_input!K28)</f>
        <v>Full-Time</v>
      </c>
      <c r="E28" t="str">
        <f>IF(Data_input!L28="","",Data_input!L28)</f>
        <v>Master (Law)</v>
      </c>
      <c r="F28" s="6" t="str">
        <f>IF(Data_Mark!F28="","",
   IF(Data_Mark!F28&gt;0,"1","0"))</f>
        <v>0</v>
      </c>
      <c r="G28" s="6" t="str">
        <f>IF(PPM_Student!U28="","",
   IF(PPM_Student!U28&gt;0,"1","0"))</f>
        <v>0</v>
      </c>
      <c r="H28" s="6" t="str">
        <f>IF(ISNUMBER(SEARCH("Ph.D",E28)),
    IF(OR(Data_count!F28="",Data_count!G28=""),"",
       IF(AND(Data_count!F28&lt;=720,Data_count!G28&lt;=720),"1","0")),
    IF(Data_count!F28="","",
       IF(Data_count!F28&lt;=450,"1","0"))
)</f>
        <v>0</v>
      </c>
      <c r="I28" s="6">
        <f>IF(Data_count!E28="","",IF(Data_count!E28&lt;0,0,1))</f>
        <v>0</v>
      </c>
      <c r="J28" t="str">
        <f t="shared" si="0"/>
        <v>Fail</v>
      </c>
    </row>
    <row r="29" spans="1:10">
      <c r="A29" t="str">
        <f>IF(Data_input!A29="","",Data_input!A29)</f>
        <v>246ZP</v>
      </c>
      <c r="B29" t="str">
        <f>IF(Data_input!B29="","",Data_input!B29)</f>
        <v>250PC276R2</v>
      </c>
      <c r="C29" t="str">
        <f>IF(Data_input!C29="","",Data_input!C29)</f>
        <v xml:space="preserve">FARHAN BIN ISMAIL  </v>
      </c>
      <c r="D29" t="str">
        <f>IF(Data_input!K29="","",Data_input!K29)</f>
        <v>Full-Time</v>
      </c>
      <c r="E29" t="str">
        <f>IF(Data_input!L29="","",Data_input!L29)</f>
        <v>Master (Law)</v>
      </c>
      <c r="F29" s="6" t="str">
        <f>IF(Data_Mark!F29="","",
   IF(Data_Mark!F29&gt;0,"1","0"))</f>
        <v>0</v>
      </c>
      <c r="G29" s="6" t="str">
        <f>IF(PPM_Student!U29="","",
   IF(PPM_Student!U29&gt;0,"1","0"))</f>
        <v>0</v>
      </c>
      <c r="H29" s="6" t="str">
        <f>IF(ISNUMBER(SEARCH("Ph.D",E29)),
    IF(OR(Data_count!F29="",Data_count!G29=""),"",
       IF(AND(Data_count!F29&lt;=720,Data_count!G29&lt;=720),"1","0")),
    IF(Data_count!F29="","",
       IF(Data_count!F29&lt;=450,"1","0"))
)</f>
        <v>0</v>
      </c>
      <c r="I29" s="6">
        <f>IF(Data_count!E29="","",IF(Data_count!E29&lt;0,0,1))</f>
        <v>0</v>
      </c>
      <c r="J29" t="str">
        <f t="shared" si="0"/>
        <v>Fail</v>
      </c>
    </row>
    <row r="30" spans="1:10">
      <c r="A30" t="str">
        <f>IF(Data_input!A30="","",Data_input!A30)</f>
        <v>247QR</v>
      </c>
      <c r="B30" t="str">
        <f>IF(Data_input!B30="","",Data_input!B30)</f>
        <v>250PE261RJ</v>
      </c>
      <c r="C30" t="str">
        <f>IF(Data_input!C30="","",Data_input!C30)</f>
        <v>LIM PEI YEE</v>
      </c>
      <c r="D30" t="str">
        <f>IF(Data_input!K30="","",Data_input!K30)</f>
        <v>Full-Time</v>
      </c>
      <c r="E30" t="str">
        <f>IF(Data_input!L30="","",Data_input!L30)</f>
        <v>Master (Mgmt)</v>
      </c>
      <c r="F30" s="6" t="str">
        <f>IF(Data_Mark!F30="","",
   IF(Data_Mark!F30&gt;0,"1","0"))</f>
        <v>0</v>
      </c>
      <c r="G30" s="6" t="str">
        <f>IF(PPM_Student!U30="","",
   IF(PPM_Student!U30&gt;0,"1","0"))</f>
        <v>0</v>
      </c>
      <c r="H30" s="6" t="str">
        <f>IF(ISNUMBER(SEARCH("Ph.D",E30)),
    IF(OR(Data_count!F30="",Data_count!G30=""),"",
       IF(AND(Data_count!F30&lt;=720,Data_count!G30&lt;=720),"1","0")),
    IF(Data_count!F30="","",
       IF(Data_count!F30&lt;=450,"1","0"))
)</f>
        <v>0</v>
      </c>
      <c r="I30" s="6">
        <f>IF(Data_count!E30="","",IF(Data_count!E30&lt;0,0,1))</f>
        <v>0</v>
      </c>
      <c r="J30" t="str">
        <f t="shared" si="0"/>
        <v>Fail</v>
      </c>
    </row>
    <row r="31" spans="1:10">
      <c r="A31" t="str">
        <f>IF(Data_input!A31="","",Data_input!A31)</f>
        <v>248R7</v>
      </c>
      <c r="B31" t="str">
        <f>IF(Data_input!B31="","",Data_input!B31)</f>
        <v>250PG248PD</v>
      </c>
      <c r="C31" t="str">
        <f>IF(Data_input!C31="","",Data_input!C31)</f>
        <v xml:space="preserve">RAJESH PRASAD  </v>
      </c>
      <c r="D31" t="str">
        <f>IF(Data_input!K31="","",Data_input!K31)</f>
        <v>Part-Time</v>
      </c>
      <c r="E31" t="str">
        <f>IF(Data_input!L31="","",Data_input!L31)</f>
        <v>Master (Mgmt)</v>
      </c>
      <c r="F31" s="6" t="str">
        <f>IF(Data_Mark!F31="","",
   IF(Data_Mark!F31&gt;0,"1","0"))</f>
        <v>1</v>
      </c>
      <c r="G31" s="6" t="str">
        <f>IF(PPM_Student!U31="","",
   IF(PPM_Student!U31&gt;0,"1","0"))</f>
        <v>1</v>
      </c>
      <c r="H31" s="6" t="str">
        <f>IF(ISNUMBER(SEARCH("Ph.D",E31)),
    IF(OR(Data_count!F31="",Data_count!G31=""),"",
       IF(AND(Data_count!F31&lt;=720,Data_count!G31&lt;=720),"1","0")),
    IF(Data_count!F31="","",
       IF(Data_count!F31&lt;=450,"1","0"))
)</f>
        <v>1</v>
      </c>
      <c r="I31" s="6">
        <f>IF(Data_count!E31="","",IF(Data_count!E31&lt;0,0,1))</f>
        <v>1</v>
      </c>
      <c r="J31" t="str">
        <f t="shared" si="0"/>
        <v>Pass</v>
      </c>
    </row>
    <row r="32" spans="1:10">
      <c r="A32" t="str">
        <f>IF(Data_input!A32="","",Data_input!A32)</f>
        <v>2458T</v>
      </c>
      <c r="B32" t="str">
        <f>IF(Data_input!B32="","",Data_input!B32)</f>
        <v>250PH234RM</v>
      </c>
      <c r="C32" t="str">
        <f>IF(Data_input!C32="","",Data_input!C32)</f>
        <v xml:space="preserve">GOH MUN KIT  </v>
      </c>
      <c r="D32" t="str">
        <f>IF(Data_input!K32="","",Data_input!K32)</f>
        <v>Part-Time</v>
      </c>
      <c r="E32" t="str">
        <f>IF(Data_input!L32="","",Data_input!L32)</f>
        <v>Master (Mgmt)</v>
      </c>
      <c r="F32" s="6" t="str">
        <f>IF(Data_Mark!F32="","",
   IF(Data_Mark!F32&gt;0,"1","0"))</f>
        <v>1</v>
      </c>
      <c r="G32" s="6" t="str">
        <f>IF(PPM_Student!U32="","",
   IF(PPM_Student!U32&gt;0,"1","0"))</f>
        <v>1</v>
      </c>
      <c r="H32" s="6" t="str">
        <f>IF(ISNUMBER(SEARCH("Ph.D",E32)),
    IF(OR(Data_count!F32="",Data_count!G32=""),"",
       IF(AND(Data_count!F32&lt;=720,Data_count!G32&lt;=720),"1","0")),
    IF(Data_count!F32="","",
       IF(Data_count!F32&lt;=450,"1","0"))
)</f>
        <v>1</v>
      </c>
      <c r="I32" s="6">
        <f>IF(Data_count!E32="","",IF(Data_count!E32&lt;0,0,1))</f>
        <v>1</v>
      </c>
      <c r="J32" t="str">
        <f t="shared" si="0"/>
        <v>Pass</v>
      </c>
    </row>
    <row r="33" spans="1:10">
      <c r="A33" t="str">
        <f>IF(Data_input!A33="","",Data_input!A33)</f>
        <v>2465K</v>
      </c>
      <c r="B33" t="str">
        <f>IF(Data_input!B33="","",Data_input!B33)</f>
        <v>250PJ285Q1</v>
      </c>
      <c r="C33" t="str">
        <f>IF(Data_input!C33="","",Data_input!C33)</f>
        <v xml:space="preserve">AISHA BINTI HASSAN  </v>
      </c>
      <c r="D33" t="str">
        <f>IF(Data_input!K33="","",Data_input!K33)</f>
        <v>Part-Time</v>
      </c>
      <c r="E33" t="str">
        <f>IF(Data_input!L33="","",Data_input!L33)</f>
        <v>Master (Mgmt)</v>
      </c>
      <c r="F33" s="6" t="str">
        <f>IF(Data_Mark!F33="","",
   IF(Data_Mark!F33&gt;0,"1","0"))</f>
        <v>1</v>
      </c>
      <c r="G33" s="6" t="str">
        <f>IF(PPM_Student!U33="","",
   IF(PPM_Student!U33&gt;0,"1","0"))</f>
        <v>1</v>
      </c>
      <c r="H33" s="6" t="str">
        <f>IF(ISNUMBER(SEARCH("Ph.D",E33)),
    IF(OR(Data_count!F33="",Data_count!G33=""),"",
       IF(AND(Data_count!F33&lt;=720,Data_count!G33&lt;=720),"1","0")),
    IF(Data_count!F33="","",
       IF(Data_count!F33&lt;=450,"1","0"))
)</f>
        <v>1</v>
      </c>
      <c r="I33" s="6">
        <f>IF(Data_count!E33="","",IF(Data_count!E33&lt;0,0,1))</f>
        <v>1</v>
      </c>
      <c r="J33" t="str">
        <f t="shared" si="0"/>
        <v>Pass</v>
      </c>
    </row>
    <row r="34" spans="1:10">
      <c r="A34" t="str">
        <f>IF(Data_input!A34="","",Data_input!A34)</f>
        <v>247ZK</v>
      </c>
      <c r="B34" t="str">
        <f>IF(Data_input!B34="","",Data_input!B34)</f>
        <v>250PK292RD</v>
      </c>
      <c r="C34" t="str">
        <f>IF(Data_input!C34="","",Data_input!C34)</f>
        <v xml:space="preserve">ONG JUN HAO  </v>
      </c>
      <c r="D34" t="str">
        <f>IF(Data_input!K34="","",Data_input!K34)</f>
        <v>Part-Time</v>
      </c>
      <c r="E34" t="str">
        <f>IF(Data_input!L34="","",Data_input!L34)</f>
        <v>Master (Law)</v>
      </c>
      <c r="F34" s="6" t="str">
        <f>IF(Data_Mark!F34="","",
   IF(Data_Mark!F34&gt;0,"1","0"))</f>
        <v>1</v>
      </c>
      <c r="G34" s="6" t="str">
        <f>IF(PPM_Student!U34="","",
   IF(PPM_Student!U34&gt;0,"1","0"))</f>
        <v>1</v>
      </c>
      <c r="H34" s="6" t="str">
        <f>IF(ISNUMBER(SEARCH("Ph.D",E34)),
    IF(OR(Data_count!F34="",Data_count!G34=""),"",
       IF(AND(Data_count!F34&lt;=720,Data_count!G34&lt;=720),"1","0")),
    IF(Data_count!F34="","",
       IF(Data_count!F34&lt;=450,"1","0"))
)</f>
        <v>1</v>
      </c>
      <c r="I34" s="6">
        <f>IF(Data_count!E34="","",IF(Data_count!E34&lt;0,0,1))</f>
        <v>1</v>
      </c>
      <c r="J34" t="str">
        <f t="shared" si="0"/>
        <v>Pass</v>
      </c>
    </row>
    <row r="35" spans="1:10">
      <c r="A35" t="str">
        <f>IF(Data_input!A35="","",Data_input!A35)</f>
        <v>249PK</v>
      </c>
      <c r="B35" t="str">
        <f>IF(Data_input!B35="","",Data_input!B35)</f>
        <v>250PL239R2</v>
      </c>
      <c r="C35" t="str">
        <f>IF(Data_input!C35="","",Data_input!C35)</f>
        <v xml:space="preserve">PRIYA DEVI NAIR  </v>
      </c>
      <c r="D35" t="str">
        <f>IF(Data_input!K35="","",Data_input!K35)</f>
        <v>Part-Time</v>
      </c>
      <c r="E35" t="str">
        <f>IF(Data_input!L35="","",Data_input!L35)</f>
        <v>Master (Law)</v>
      </c>
      <c r="F35" s="6" t="str">
        <f>IF(Data_Mark!F35="","",
   IF(Data_Mark!F35&gt;0,"1","0"))</f>
        <v>1</v>
      </c>
      <c r="G35" s="6" t="str">
        <f>IF(PPM_Student!U35="","",
   IF(PPM_Student!U35&gt;0,"1","0"))</f>
        <v>1</v>
      </c>
      <c r="H35" s="6" t="str">
        <f>IF(ISNUMBER(SEARCH("Ph.D",E35)),
    IF(OR(Data_count!F35="",Data_count!G35=""),"",
       IF(AND(Data_count!F35&lt;=720,Data_count!G35&lt;=720),"1","0")),
    IF(Data_count!F35="","",
       IF(Data_count!F35&lt;=450,"1","0"))
)</f>
        <v>1</v>
      </c>
      <c r="I35" s="6">
        <f>IF(Data_count!E35="","",IF(Data_count!E35&lt;0,0,1))</f>
        <v>1</v>
      </c>
      <c r="J35" t="str">
        <f t="shared" si="0"/>
        <v>Pass</v>
      </c>
    </row>
    <row r="36" spans="1:10">
      <c r="A36" t="str">
        <f>IF(Data_input!A36="","",Data_input!A36)</f>
        <v>243YK</v>
      </c>
      <c r="B36" t="str">
        <f>IF(Data_input!B36="","",Data_input!B36)</f>
        <v>250PN278QD</v>
      </c>
      <c r="C36" t="str">
        <f>IF(Data_input!C36="","",Data_input!C36)</f>
        <v xml:space="preserve">CHONG KAI LUN </v>
      </c>
      <c r="D36" t="str">
        <f>IF(Data_input!K36="","",Data_input!K36)</f>
        <v>Part-Time</v>
      </c>
      <c r="E36" t="str">
        <f>IF(Data_input!L36="","",Data_input!L36)</f>
        <v>Master (Law)</v>
      </c>
      <c r="F36" s="6" t="str">
        <f>IF(Data_Mark!F36="","",
   IF(Data_Mark!F36&gt;0,"1","0"))</f>
        <v>1</v>
      </c>
      <c r="G36" s="6" t="str">
        <f>IF(PPM_Student!U36="","",
   IF(PPM_Student!U36&gt;0,"1","0"))</f>
        <v>1</v>
      </c>
      <c r="H36" s="6" t="str">
        <f>IF(ISNUMBER(SEARCH("Ph.D",E36)),
    IF(OR(Data_count!F36="",Data_count!G36=""),"",
       IF(AND(Data_count!F36&lt;=720,Data_count!G36&lt;=720),"1","0")),
    IF(Data_count!F36="","",
       IF(Data_count!F36&lt;=450,"1","0"))
)</f>
        <v>1</v>
      </c>
      <c r="I36" s="6">
        <f>IF(Data_count!E36="","",IF(Data_count!E36&lt;0,0,1))</f>
        <v>1</v>
      </c>
      <c r="J36" t="str">
        <f t="shared" si="0"/>
        <v>Pass</v>
      </c>
    </row>
    <row r="37" spans="1:10">
      <c r="A37" t="str">
        <f>IF(Data_input!A37="","",Data_input!A37)</f>
        <v>245MK</v>
      </c>
      <c r="B37" t="str">
        <f>IF(Data_input!B37="","",Data_input!B37)</f>
        <v>250PR284PK</v>
      </c>
      <c r="C37" t="str">
        <f>IF(Data_input!C37="","",Data_input!C37)</f>
        <v xml:space="preserve">ABDUL RAHMAN BIN OTHMAN  </v>
      </c>
      <c r="D37" t="str">
        <f>IF(Data_input!K37="","",Data_input!K37)</f>
        <v>Part-Time</v>
      </c>
      <c r="E37" t="str">
        <f>IF(Data_input!L37="","",Data_input!L37)</f>
        <v>Master (Law)</v>
      </c>
      <c r="F37" s="6" t="str">
        <f>IF(Data_Mark!F37="","",
   IF(Data_Mark!F37&gt;0,"1","0"))</f>
        <v>1</v>
      </c>
      <c r="G37" s="6" t="str">
        <f>IF(PPM_Student!U37="","",
   IF(PPM_Student!U37&gt;0,"1","0"))</f>
        <v>1</v>
      </c>
      <c r="H37" s="6" t="str">
        <f>IF(ISNUMBER(SEARCH("Ph.D",E37)),
    IF(OR(Data_count!F37="",Data_count!G37=""),"",
       IF(AND(Data_count!F37&lt;=720,Data_count!G37&lt;=720),"1","0")),
    IF(Data_count!F37="","",
       IF(Data_count!F37&lt;=450,"1","0"))
)</f>
        <v>0</v>
      </c>
      <c r="I37" s="6">
        <f>IF(Data_count!E37="","",IF(Data_count!E37&lt;0,0,1))</f>
        <v>0</v>
      </c>
      <c r="J37" t="str">
        <f t="shared" si="0"/>
        <v>Pass</v>
      </c>
    </row>
    <row r="38" spans="1:10">
      <c r="A38" t="str">
        <f>IF(Data_input!A38="","",Data_input!A38)</f>
        <v>248RM</v>
      </c>
      <c r="B38" t="str">
        <f>IF(Data_input!B38="","",Data_input!B38)</f>
        <v>250PS295RM</v>
      </c>
      <c r="C38" t="str">
        <f>IF(Data_input!C38="","",Data_input!C38)</f>
        <v>YAP SIEW LING</v>
      </c>
      <c r="D38" t="str">
        <f>IF(Data_input!K38="","",Data_input!K38)</f>
        <v>Part-Time</v>
      </c>
      <c r="E38" t="str">
        <f>IF(Data_input!L38="","",Data_input!L38)</f>
        <v>Master (Communication)</v>
      </c>
      <c r="F38" s="6" t="str">
        <f>IF(Data_Mark!F38="","",
   IF(Data_Mark!F38&gt;0,"1","0"))</f>
        <v>0</v>
      </c>
      <c r="G38" s="6" t="str">
        <f>IF(PPM_Student!U38="","",
   IF(PPM_Student!U38&gt;0,"1","0"))</f>
        <v>0</v>
      </c>
      <c r="H38" s="6" t="str">
        <f>IF(ISNUMBER(SEARCH("Ph.D",E38)),
    IF(OR(Data_count!F38="",Data_count!G38=""),"",
       IF(AND(Data_count!F38&lt;=720,Data_count!G38&lt;=720),"1","0")),
    IF(Data_count!F38="","",
       IF(Data_count!F38&lt;=450,"1","0"))
)</f>
        <v>0</v>
      </c>
      <c r="I38" s="6">
        <f>IF(Data_count!E38="","",IF(Data_count!E38&lt;0,0,1))</f>
        <v>0</v>
      </c>
      <c r="J38" t="str">
        <f t="shared" si="0"/>
        <v>Fail</v>
      </c>
    </row>
    <row r="39" spans="1:10">
      <c r="A39" t="str">
        <f>IF(Data_input!A39="","",Data_input!A39)</f>
        <v>249RK</v>
      </c>
      <c r="B39" t="str">
        <f>IF(Data_input!B39="","",Data_input!B39)</f>
        <v>250PT244R3</v>
      </c>
      <c r="C39" t="str">
        <f>IF(Data_input!C39="","",Data_input!C39)</f>
        <v xml:space="preserve">MIRA SHARMINA BINTI HAMZAH  </v>
      </c>
      <c r="D39" t="str">
        <f>IF(Data_input!K39="","",Data_input!K39)</f>
        <v>Part-Time</v>
      </c>
      <c r="E39" t="str">
        <f>IF(Data_input!L39="","",Data_input!L39)</f>
        <v>Master (Communication)</v>
      </c>
      <c r="F39" s="6" t="str">
        <f>IF(Data_Mark!F39="","",
   IF(Data_Mark!F39&gt;0,"1","0"))</f>
        <v>0</v>
      </c>
      <c r="G39" s="6" t="str">
        <f>IF(PPM_Student!U39="","",
   IF(PPM_Student!U39&gt;0,"1","0"))</f>
        <v>0</v>
      </c>
      <c r="H39" s="6" t="str">
        <f>IF(ISNUMBER(SEARCH("Ph.D",E39)),
    IF(OR(Data_count!F39="",Data_count!G39=""),"",
       IF(AND(Data_count!F39&lt;=720,Data_count!G39&lt;=720),"1","0")),
    IF(Data_count!F39="","",
       IF(Data_count!F39&lt;=450,"1","0"))
)</f>
        <v>0</v>
      </c>
      <c r="I39" s="6">
        <f>IF(Data_count!E39="","",IF(Data_count!E39&lt;0,0,1))</f>
        <v>0</v>
      </c>
      <c r="J39" t="str">
        <f t="shared" si="0"/>
        <v>Fail</v>
      </c>
    </row>
    <row r="40" spans="1:10">
      <c r="A40" t="str">
        <f>IF(Data_input!A40="","",Data_input!A40)</f>
        <v>247LH</v>
      </c>
      <c r="B40" t="str">
        <f>IF(Data_input!B40="","",Data_input!B40)</f>
        <v>250PS297RL</v>
      </c>
      <c r="C40" t="str">
        <f>IF(Data_input!C40="","",Data_input!C40)</f>
        <v>KOH CHEE MING</v>
      </c>
      <c r="D40" t="str">
        <f>IF(Data_input!K40="","",Data_input!K40)</f>
        <v>Part-Time</v>
      </c>
      <c r="E40" t="str">
        <f>IF(Data_input!L40="","",Data_input!L40)</f>
        <v>Master (Communication)</v>
      </c>
      <c r="F40" s="6" t="str">
        <f>IF(Data_Mark!F40="","",
   IF(Data_Mark!F40&gt;0,"1","0"))</f>
        <v>0</v>
      </c>
      <c r="G40" s="6" t="str">
        <f>IF(PPM_Student!U40="","",
   IF(PPM_Student!U40&gt;0,"1","0"))</f>
        <v>0</v>
      </c>
      <c r="H40" s="6" t="str">
        <f>IF(ISNUMBER(SEARCH("Ph.D",E40)),
    IF(OR(Data_count!F40="",Data_count!G40=""),"",
       IF(AND(Data_count!F40&lt;=720,Data_count!G40&lt;=720),"1","0")),
    IF(Data_count!F40="","",
       IF(Data_count!F40&lt;=450,"1","0"))
)</f>
        <v>0</v>
      </c>
      <c r="I40" s="6">
        <f>IF(Data_count!E40="","",IF(Data_count!E40&lt;0,0,1))</f>
        <v>0</v>
      </c>
      <c r="J40" t="str">
        <f t="shared" si="0"/>
        <v>Fail</v>
      </c>
    </row>
    <row r="41" spans="1:10">
      <c r="A41" t="str">
        <f>IF(Data_input!A41="","",Data_input!A41)</f>
        <v>247LH</v>
      </c>
      <c r="B41" t="str">
        <f>IF(Data_input!B41="","",Data_input!B41)</f>
        <v>250PS297RL</v>
      </c>
      <c r="C41" t="str">
        <f>IF(Data_input!C41="","",Data_input!C41)</f>
        <v>ANG ANSON</v>
      </c>
      <c r="D41" t="str">
        <f>IF(Data_input!K41="","",Data_input!K41)</f>
        <v>Full-Time</v>
      </c>
      <c r="E41" t="str">
        <f>IF(Data_input!L41="","",Data_input!L41)</f>
        <v>Master (Communication)</v>
      </c>
      <c r="F41" s="6" t="str">
        <f>IF(Data_Mark!F41="","",
   IF(Data_Mark!F41&gt;0,"1","0"))</f>
        <v/>
      </c>
      <c r="G41" s="6" t="str">
        <f>IF(Student_Status!F41="","",
   IF(Student_Status!F41&gt;0,"1","0"))</f>
        <v/>
      </c>
      <c r="H41" s="6" t="str">
        <f>IF(ISNUMBER(SEARCH("Ph.D",E41)),
    IF(OR(Data_count!F41="",Data_count!G41=""),"",
       IF(AND(Data_count!F41&lt;=720,Data_count!G41&lt;=720),"1","0")),
    IF(Data_count!F41="","",
       IF(Data_count!F41&lt;=450,"1","0"))
)</f>
        <v/>
      </c>
      <c r="I41" s="6" t="str">
        <f>IF(Data_count!E41="","",IF(Data_count!E41&lt;0,0,1))</f>
        <v/>
      </c>
      <c r="J41" t="str">
        <f t="shared" si="0"/>
        <v>Pass</v>
      </c>
    </row>
    <row r="42" spans="1:10">
      <c r="A42" t="str">
        <f>IF(Data_input!A42="","",Data_input!A42)</f>
        <v/>
      </c>
      <c r="B42" t="str">
        <f>IF(Data_input!B42="","",Data_input!B42)</f>
        <v/>
      </c>
      <c r="C42" t="str">
        <f>IF(Data_input!C42="","",Data_input!C42)</f>
        <v/>
      </c>
      <c r="D42" t="str">
        <f>IF(Data_input!K42="","",Data_input!K42)</f>
        <v/>
      </c>
      <c r="E42" t="str">
        <f>IF(Data_input!L42="","",Data_input!L42)</f>
        <v/>
      </c>
      <c r="F42" s="6" t="str">
        <f>IF(Data_Mark!F42="","",
   IF(Data_Mark!F42&gt;0,"1","0"))</f>
        <v/>
      </c>
      <c r="G42" s="6" t="str">
        <f>IF(Student_Status!F42="","",
   IF(Student_Status!F42&gt;0,"1","0"))</f>
        <v/>
      </c>
      <c r="H42" s="6" t="str">
        <f>IF(ISNUMBER(SEARCH("Ph.D",E42)),
    IF(OR(Data_count!F42="",Data_count!G42=""),"",
       IF(AND(Data_count!F42&lt;=720,Data_count!G42&lt;=720),"1","0")),
    IF(Data_count!F42="","",
       IF(Data_count!F42&lt;=450,"1","0"))
)</f>
        <v/>
      </c>
      <c r="I42" s="6" t="str">
        <f>IF(Data_count!E42="","",IF(Data_count!E42&lt;0,0,1))</f>
        <v/>
      </c>
      <c r="J42" t="str">
        <f t="shared" si="0"/>
        <v/>
      </c>
    </row>
    <row r="43" spans="1:10">
      <c r="A43" t="str">
        <f>IF(Data_input!A43="","",Data_input!A43)</f>
        <v/>
      </c>
      <c r="B43" t="str">
        <f>IF(Data_input!B43="","",Data_input!B43)</f>
        <v/>
      </c>
      <c r="C43" t="str">
        <f>IF(Data_input!C43="","",Data_input!C43)</f>
        <v/>
      </c>
      <c r="D43" t="str">
        <f>IF(Data_input!K43="","",Data_input!K43)</f>
        <v/>
      </c>
      <c r="E43" t="str">
        <f>IF(Data_input!L43="","",Data_input!L43)</f>
        <v/>
      </c>
      <c r="F43" s="6" t="str">
        <f>IF(Data_Mark!F43="","",
   IF(Data_Mark!F43&gt;0,"1","0"))</f>
        <v/>
      </c>
      <c r="G43" s="6" t="str">
        <f>IF(Student_Status!F43="","",
   IF(Student_Status!F43&gt;0,"1","0"))</f>
        <v/>
      </c>
      <c r="H43" s="6" t="str">
        <f>IF(ISNUMBER(SEARCH("Ph.D",E43)),
    IF(OR(Data_count!F43="",Data_count!G43=""),"",
       IF(AND(Data_count!F43&lt;=720,Data_count!G43&lt;=720),"1","0")),
    IF(Data_count!F43="","",
       IF(Data_count!F43&lt;=450,"1","0"))
)</f>
        <v/>
      </c>
      <c r="I43" s="6" t="str">
        <f>IF(Data_count!E43="","",IF(Data_count!E43&lt;0,0,1))</f>
        <v/>
      </c>
      <c r="J43" t="str">
        <f t="shared" si="0"/>
        <v/>
      </c>
    </row>
    <row r="44" spans="1:10">
      <c r="A44" t="str">
        <f>IF(Data_input!A44="","",Data_input!A44)</f>
        <v/>
      </c>
      <c r="B44" t="str">
        <f>IF(Data_input!B44="","",Data_input!B44)</f>
        <v/>
      </c>
      <c r="C44" t="str">
        <f>IF(Data_input!C44="","",Data_input!C44)</f>
        <v/>
      </c>
      <c r="D44" t="str">
        <f>IF(Data_input!K44="","",Data_input!K44)</f>
        <v/>
      </c>
      <c r="E44" t="str">
        <f>IF(Data_input!L44="","",Data_input!L44)</f>
        <v/>
      </c>
      <c r="F44" s="6" t="str">
        <f>IF(Data_Mark!F44="","",
   IF(Data_Mark!F44&gt;0,"1","0"))</f>
        <v/>
      </c>
      <c r="G44" s="6" t="str">
        <f>IF(Student_Status!F44="","",
   IF(Student_Status!F44&gt;0,"1","0"))</f>
        <v/>
      </c>
      <c r="H44" s="6" t="str">
        <f>IF(ISNUMBER(SEARCH("Ph.D",E44)),
    IF(OR(Data_count!F44="",Data_count!G44=""),"",
       IF(AND(Data_count!F44&lt;=720,Data_count!G44&lt;=720),"1","0")),
    IF(Data_count!F44="","",
       IF(Data_count!F44&lt;=450,"1","0"))
)</f>
        <v/>
      </c>
      <c r="I44" s="6" t="str">
        <f>IF(Data_count!E44="","",IF(Data_count!E44&lt;0,0,1))</f>
        <v/>
      </c>
      <c r="J44" t="str">
        <f t="shared" si="0"/>
        <v/>
      </c>
    </row>
    <row r="45" spans="1:10">
      <c r="A45" t="str">
        <f>IF(Data_input!A45="","",Data_input!A45)</f>
        <v/>
      </c>
      <c r="B45" t="str">
        <f>IF(Data_input!B45="","",Data_input!B45)</f>
        <v/>
      </c>
      <c r="C45" t="str">
        <f>IF(Data_input!C45="","",Data_input!C45)</f>
        <v/>
      </c>
      <c r="D45" t="str">
        <f>IF(Data_input!K45="","",Data_input!K45)</f>
        <v/>
      </c>
      <c r="E45" t="str">
        <f>IF(Data_input!L45="","",Data_input!L45)</f>
        <v/>
      </c>
      <c r="F45" s="6" t="str">
        <f>IF(Data_Mark!F45="","",
   IF(Data_Mark!F45&gt;0,"1","0"))</f>
        <v/>
      </c>
      <c r="G45" s="6" t="str">
        <f>IF(Student_Status!F45="","",
   IF(Student_Status!F45&gt;0,"1","0"))</f>
        <v/>
      </c>
      <c r="H45" s="6" t="str">
        <f>IF(ISNUMBER(SEARCH("Ph.D",E45)),
    IF(OR(Data_count!F45="",Data_count!G45=""),"",
       IF(AND(Data_count!F45&lt;=720,Data_count!G45&lt;=720),"1","0")),
    IF(Data_count!F45="","",
       IF(Data_count!F45&lt;=450,"1","0"))
)</f>
        <v/>
      </c>
      <c r="I45" s="6" t="str">
        <f>IF(Data_count!E45="","",IF(Data_count!E45&lt;0,0,1))</f>
        <v/>
      </c>
      <c r="J45" t="str">
        <f t="shared" si="0"/>
        <v/>
      </c>
    </row>
    <row r="46" spans="1:10">
      <c r="A46" t="str">
        <f>IF(Data_input!A46="","",Data_input!A46)</f>
        <v/>
      </c>
      <c r="B46" t="str">
        <f>IF(Data_input!B46="","",Data_input!B46)</f>
        <v/>
      </c>
      <c r="C46" t="str">
        <f>IF(Data_input!C46="","",Data_input!C46)</f>
        <v/>
      </c>
      <c r="D46" t="str">
        <f>IF(Data_input!K46="","",Data_input!K46)</f>
        <v/>
      </c>
      <c r="E46" t="str">
        <f>IF(Data_input!L46="","",Data_input!L46)</f>
        <v/>
      </c>
      <c r="F46" s="6" t="str">
        <f>IF(Data_Mark!F46="","",
   IF(Data_Mark!F46&gt;0,"1","0"))</f>
        <v/>
      </c>
      <c r="G46" s="6" t="str">
        <f>IF(Student_Status!F46="","",
   IF(Student_Status!F46&gt;0,"1","0"))</f>
        <v/>
      </c>
      <c r="H46" s="6" t="str">
        <f>IF(ISNUMBER(SEARCH("Ph.D",E46)),
    IF(OR(Data_count!F46="",Data_count!G46=""),"",
       IF(AND(Data_count!F46&lt;=720,Data_count!G46&lt;=720),"1","0")),
    IF(Data_count!F46="","",
       IF(Data_count!F46&lt;=450,"1","0"))
)</f>
        <v/>
      </c>
      <c r="I46" s="6" t="str">
        <f>IF(Data_count!E46="","",IF(Data_count!E46&lt;0,0,1))</f>
        <v/>
      </c>
      <c r="J46" t="str">
        <f t="shared" si="0"/>
        <v/>
      </c>
    </row>
    <row r="47" spans="1:10">
      <c r="A47" t="str">
        <f>IF(Data_input!A47="","",Data_input!A47)</f>
        <v/>
      </c>
      <c r="B47" t="str">
        <f>IF(Data_input!B47="","",Data_input!B47)</f>
        <v/>
      </c>
      <c r="C47" t="str">
        <f>IF(Data_input!C47="","",Data_input!C47)</f>
        <v/>
      </c>
      <c r="D47" t="str">
        <f>IF(Data_input!K47="","",Data_input!K47)</f>
        <v/>
      </c>
      <c r="E47" t="str">
        <f>IF(Data_input!L47="","",Data_input!L47)</f>
        <v/>
      </c>
      <c r="F47" s="6" t="str">
        <f>IF(Data_Mark!F47="","",
   IF(Data_Mark!F47&gt;0,"1","0"))</f>
        <v/>
      </c>
      <c r="G47" s="6" t="str">
        <f>IF(Student_Status!F47="","",
   IF(Student_Status!F47&gt;0,"1","0"))</f>
        <v/>
      </c>
      <c r="H47" s="6" t="str">
        <f>IF(ISNUMBER(SEARCH("Ph.D",E47)),
    IF(OR(Data_count!F47="",Data_count!G47=""),"",
       IF(AND(Data_count!F47&lt;=720,Data_count!G47&lt;=720),"1","0")),
    IF(Data_count!F47="","",
       IF(Data_count!F47&lt;=450,"1","0"))
)</f>
        <v/>
      </c>
      <c r="I47" s="6" t="str">
        <f>IF(Data_count!E47="","",IF(Data_count!E47&lt;0,0,1))</f>
        <v/>
      </c>
      <c r="J47" t="str">
        <f t="shared" si="0"/>
        <v/>
      </c>
    </row>
    <row r="48" spans="1:10">
      <c r="A48" t="str">
        <f>IF(Data_input!A48="","",Data_input!A48)</f>
        <v/>
      </c>
      <c r="B48" t="str">
        <f>IF(Data_input!B48="","",Data_input!B48)</f>
        <v/>
      </c>
      <c r="C48" t="str">
        <f>IF(Data_input!C48="","",Data_input!C48)</f>
        <v/>
      </c>
      <c r="D48" t="str">
        <f>IF(Data_input!K48="","",Data_input!K48)</f>
        <v/>
      </c>
      <c r="E48" t="str">
        <f>IF(Data_input!L48="","",Data_input!L48)</f>
        <v/>
      </c>
      <c r="F48" s="6" t="str">
        <f>IF(Data_Mark!F48="","",
   IF(Data_Mark!F48&gt;0,"1","0"))</f>
        <v/>
      </c>
      <c r="G48" s="6" t="str">
        <f>IF(Student_Status!F48="","",
   IF(Student_Status!F48&gt;0,"1","0"))</f>
        <v/>
      </c>
      <c r="H48" s="6" t="str">
        <f>IF(ISNUMBER(SEARCH("Ph.D",E48)),
    IF(OR(Data_count!F48="",Data_count!G48=""),"",
       IF(AND(Data_count!F48&lt;=720,Data_count!G48&lt;=720),"1","0")),
    IF(Data_count!F48="","",
       IF(Data_count!F48&lt;=450,"1","0"))
)</f>
        <v/>
      </c>
      <c r="I48" s="6" t="str">
        <f>IF(Data_count!E48="","",IF(Data_count!E48&lt;0,0,1))</f>
        <v/>
      </c>
      <c r="J48" t="str">
        <f t="shared" si="0"/>
        <v/>
      </c>
    </row>
    <row r="49" spans="1:10">
      <c r="A49" t="str">
        <f>IF(Data_input!A49="","",Data_input!A49)</f>
        <v/>
      </c>
      <c r="B49" t="str">
        <f>IF(Data_input!B49="","",Data_input!B49)</f>
        <v/>
      </c>
      <c r="C49" t="str">
        <f>IF(Data_input!C49="","",Data_input!C49)</f>
        <v/>
      </c>
      <c r="D49" t="str">
        <f>IF(Data_input!K49="","",Data_input!K49)</f>
        <v/>
      </c>
      <c r="E49" t="str">
        <f>IF(Data_input!L49="","",Data_input!L49)</f>
        <v/>
      </c>
      <c r="F49" s="6" t="str">
        <f>IF(Data_Mark!F49="","",
   IF(Data_Mark!F49&gt;0,"1","0"))</f>
        <v/>
      </c>
      <c r="G49" s="6" t="str">
        <f>IF(Student_Status!F49="","",
   IF(Student_Status!F49&gt;0,"1","0"))</f>
        <v/>
      </c>
      <c r="H49" s="6" t="str">
        <f>IF(ISNUMBER(SEARCH("Ph.D",E49)),
    IF(OR(Data_count!F49="",Data_count!G49=""),"",
       IF(AND(Data_count!F49&lt;=720,Data_count!G49&lt;=720),"1","0")),
    IF(Data_count!F49="","",
       IF(Data_count!F49&lt;=450,"1","0"))
)</f>
        <v/>
      </c>
      <c r="I49" s="6" t="str">
        <f>IF(Data_count!E49="","",IF(Data_count!E49&lt;0,0,1))</f>
        <v/>
      </c>
      <c r="J49" t="str">
        <f t="shared" si="0"/>
        <v/>
      </c>
    </row>
    <row r="50" spans="1:10">
      <c r="A50" t="str">
        <f>IF(Data_input!A50="","",Data_input!A50)</f>
        <v/>
      </c>
      <c r="B50" t="str">
        <f>IF(Data_input!B50="","",Data_input!B50)</f>
        <v/>
      </c>
      <c r="C50" t="str">
        <f>IF(Data_input!C50="","",Data_input!C50)</f>
        <v/>
      </c>
      <c r="D50" t="str">
        <f>IF(Data_input!K50="","",Data_input!K50)</f>
        <v/>
      </c>
      <c r="E50" t="str">
        <f>IF(Data_input!L50="","",Data_input!L50)</f>
        <v/>
      </c>
      <c r="F50" s="6" t="str">
        <f>IF(Data_Mark!F50="","",
   IF(Data_Mark!F50&gt;0,"1","0"))</f>
        <v/>
      </c>
      <c r="G50" s="6" t="str">
        <f>IF(Student_Status!F50="","",
   IF(Student_Status!F50&gt;0,"1","0"))</f>
        <v/>
      </c>
      <c r="H50" s="6" t="str">
        <f>IF(ISNUMBER(SEARCH("Ph.D",E50)),
    IF(OR(Data_count!F50="",Data_count!G50=""),"",
       IF(AND(Data_count!F50&lt;=720,Data_count!G50&lt;=720),"1","0")),
    IF(Data_count!F50="","",
       IF(Data_count!F50&lt;=450,"1","0"))
)</f>
        <v/>
      </c>
      <c r="I50" s="6" t="str">
        <f>IF(Data_count!E50="","",IF(Data_count!E50&lt;0,0,1))</f>
        <v/>
      </c>
      <c r="J50" t="str">
        <f t="shared" si="0"/>
        <v/>
      </c>
    </row>
    <row r="51" spans="1:10">
      <c r="A51" t="str">
        <f>IF(Data_input!A51="","",Data_input!A51)</f>
        <v/>
      </c>
      <c r="B51" t="str">
        <f>IF(Data_input!B51="","",Data_input!B51)</f>
        <v/>
      </c>
      <c r="C51" t="str">
        <f>IF(Data_input!C51="","",Data_input!C51)</f>
        <v/>
      </c>
      <c r="D51" t="str">
        <f>IF(Data_input!K51="","",Data_input!K51)</f>
        <v/>
      </c>
      <c r="E51" t="str">
        <f>IF(Data_input!L51="","",Data_input!L51)</f>
        <v/>
      </c>
      <c r="F51" s="6" t="str">
        <f>IF(Data_Mark!F51="","",
   IF(Data_Mark!F51&gt;0,"1","0"))</f>
        <v/>
      </c>
      <c r="G51" s="6" t="str">
        <f>IF(Student_Status!F51="","",
   IF(Student_Status!F51&gt;0,"1","0"))</f>
        <v/>
      </c>
      <c r="H51" s="6" t="str">
        <f>IF(ISNUMBER(SEARCH("Ph.D",E51)),
    IF(OR(Data_count!F51="",Data_count!G51=""),"",
       IF(AND(Data_count!F51&lt;=720,Data_count!G51&lt;=720),"1","0")),
    IF(Data_count!F51="","",
       IF(Data_count!F51&lt;=450,"1","0"))
)</f>
        <v/>
      </c>
      <c r="I51" s="6" t="str">
        <f>IF(Data_count!E51="","",IF(Data_count!E51&lt;0,0,1))</f>
        <v/>
      </c>
      <c r="J51" t="str">
        <f t="shared" si="0"/>
        <v/>
      </c>
    </row>
    <row r="52" spans="1:10">
      <c r="A52" t="str">
        <f>IF(Data_input!A52="","",Data_input!A52)</f>
        <v/>
      </c>
      <c r="B52" t="str">
        <f>IF(Data_input!B52="","",Data_input!B52)</f>
        <v/>
      </c>
      <c r="C52" t="str">
        <f>IF(Data_input!C52="","",Data_input!C52)</f>
        <v/>
      </c>
      <c r="D52" t="str">
        <f>IF(Data_input!K52="","",Data_input!K52)</f>
        <v/>
      </c>
      <c r="E52" t="str">
        <f>IF(Data_input!L52="","",Data_input!L52)</f>
        <v/>
      </c>
      <c r="F52" s="6" t="str">
        <f>IF(Data_Mark!F52="","",
   IF(Data_Mark!F52&gt;0,"1","0"))</f>
        <v/>
      </c>
      <c r="G52" s="6" t="str">
        <f>IF(Student_Status!F52="","",
   IF(Student_Status!F52&gt;0,"1","0"))</f>
        <v/>
      </c>
      <c r="H52" s="6" t="str">
        <f>IF(ISNUMBER(SEARCH("Ph.D",E52)),
    IF(OR(Data_count!F52="",Data_count!G52=""),"",
       IF(AND(Data_count!F52&lt;=720,Data_count!G52&lt;=720),"1","0")),
    IF(Data_count!F52="","",
       IF(Data_count!F52&lt;=450,"1","0"))
)</f>
        <v/>
      </c>
      <c r="I52" s="6" t="str">
        <f>IF(Data_count!E52="","",IF(Data_count!E52&lt;0,0,1))</f>
        <v/>
      </c>
      <c r="J52" t="str">
        <f t="shared" si="0"/>
        <v/>
      </c>
    </row>
    <row r="53" spans="1:10">
      <c r="A53" t="str">
        <f>IF(Data_input!A53="","",Data_input!A53)</f>
        <v/>
      </c>
      <c r="B53" t="str">
        <f>IF(Data_input!B53="","",Data_input!B53)</f>
        <v/>
      </c>
      <c r="C53" t="str">
        <f>IF(Data_input!C53="","",Data_input!C53)</f>
        <v/>
      </c>
      <c r="D53" t="str">
        <f>IF(Data_input!K53="","",Data_input!K53)</f>
        <v/>
      </c>
      <c r="E53" t="str">
        <f>IF(Data_input!L53="","",Data_input!L53)</f>
        <v/>
      </c>
      <c r="F53" s="6" t="str">
        <f>IF(Data_Mark!F53="","",
   IF(Data_Mark!F53&gt;0,"1","0"))</f>
        <v/>
      </c>
      <c r="G53" s="6" t="str">
        <f>IF(Student_Status!F53="","",
   IF(Student_Status!F53&gt;0,"1","0"))</f>
        <v/>
      </c>
      <c r="H53" s="6" t="str">
        <f>IF(ISNUMBER(SEARCH("Ph.D",E53)),
    IF(OR(Data_count!F53="",Data_count!G53=""),"",
       IF(AND(Data_count!F53&lt;=720,Data_count!G53&lt;=720),"1","0")),
    IF(Data_count!F53="","",
       IF(Data_count!F53&lt;=450,"1","0"))
)</f>
        <v/>
      </c>
      <c r="I53" s="6" t="str">
        <f>IF(Data_count!E53="","",IF(Data_count!E53&lt;0,0,1))</f>
        <v/>
      </c>
      <c r="J53" t="str">
        <f t="shared" si="0"/>
        <v/>
      </c>
    </row>
    <row r="54" spans="1:10">
      <c r="A54" t="str">
        <f>IF(Data_input!A54="","",Data_input!A54)</f>
        <v/>
      </c>
      <c r="B54" t="str">
        <f>IF(Data_input!B54="","",Data_input!B54)</f>
        <v/>
      </c>
      <c r="C54" t="str">
        <f>IF(Data_input!C54="","",Data_input!C54)</f>
        <v/>
      </c>
      <c r="D54" t="str">
        <f>IF(Data_input!K54="","",Data_input!K54)</f>
        <v/>
      </c>
      <c r="E54" t="str">
        <f>IF(Data_input!L54="","",Data_input!L54)</f>
        <v/>
      </c>
      <c r="F54" s="6" t="str">
        <f>IF(Data_Mark!F54="","",
   IF(Data_Mark!F54&gt;0,"1","0"))</f>
        <v/>
      </c>
      <c r="G54" s="6" t="str">
        <f>IF(Student_Status!F54="","",
   IF(Student_Status!F54&gt;0,"1","0"))</f>
        <v/>
      </c>
      <c r="H54" s="6" t="str">
        <f>IF(ISNUMBER(SEARCH("Ph.D",E54)),
    IF(OR(Data_count!F54="",Data_count!G54=""),"",
       IF(AND(Data_count!F54&lt;=720,Data_count!G54&lt;=720),"1","0")),
    IF(Data_count!F54="","",
       IF(Data_count!F54&lt;=450,"1","0"))
)</f>
        <v/>
      </c>
      <c r="I54" s="6" t="str">
        <f>IF(Data_count!E54="","",IF(Data_count!E54&lt;0,0,1))</f>
        <v/>
      </c>
      <c r="J54" t="str">
        <f t="shared" si="0"/>
        <v/>
      </c>
    </row>
    <row r="55" spans="1:10">
      <c r="A55" t="str">
        <f>IF(Data_input!A55="","",Data_input!A55)</f>
        <v/>
      </c>
      <c r="B55" t="str">
        <f>IF(Data_input!B55="","",Data_input!B55)</f>
        <v/>
      </c>
      <c r="C55" t="str">
        <f>IF(Data_input!C55="","",Data_input!C55)</f>
        <v/>
      </c>
      <c r="D55" t="str">
        <f>IF(Data_input!K55="","",Data_input!K55)</f>
        <v/>
      </c>
      <c r="E55" t="str">
        <f>IF(Data_input!L55="","",Data_input!L55)</f>
        <v/>
      </c>
      <c r="F55" s="6" t="str">
        <f>IF(Data_Mark!F55="","",
   IF(Data_Mark!F55&gt;0,"1","0"))</f>
        <v/>
      </c>
      <c r="G55" s="6" t="str">
        <f>IF(Student_Status!F55="","",
   IF(Student_Status!F55&gt;0,"1","0"))</f>
        <v/>
      </c>
      <c r="H55" s="6" t="str">
        <f>IF(ISNUMBER(SEARCH("Ph.D",E55)),
    IF(OR(Data_count!F55="",Data_count!G55=""),"",
       IF(AND(Data_count!F55&lt;=720,Data_count!G55&lt;=720),"1","0")),
    IF(Data_count!F55="","",
       IF(Data_count!F55&lt;=450,"1","0"))
)</f>
        <v/>
      </c>
      <c r="I55" s="6" t="str">
        <f>IF(Data_count!E55="","",IF(Data_count!E55&lt;0,0,1))</f>
        <v/>
      </c>
      <c r="J55" t="str">
        <f t="shared" si="0"/>
        <v/>
      </c>
    </row>
    <row r="56" spans="1:10">
      <c r="A56" t="str">
        <f>IF(Data_input!A56="","",Data_input!A56)</f>
        <v/>
      </c>
      <c r="B56" t="str">
        <f>IF(Data_input!B56="","",Data_input!B56)</f>
        <v/>
      </c>
      <c r="C56" t="str">
        <f>IF(Data_input!C56="","",Data_input!C56)</f>
        <v/>
      </c>
      <c r="D56" t="str">
        <f>IF(Data_input!K56="","",Data_input!K56)</f>
        <v/>
      </c>
      <c r="E56" t="str">
        <f>IF(Data_input!L56="","",Data_input!L56)</f>
        <v/>
      </c>
      <c r="F56" s="6" t="str">
        <f>IF(Data_Mark!F56="","",
   IF(Data_Mark!F56&gt;0,"1","0"))</f>
        <v/>
      </c>
      <c r="G56" s="6" t="str">
        <f>IF(Student_Status!F56="","",
   IF(Student_Status!F56&gt;0,"1","0"))</f>
        <v/>
      </c>
      <c r="H56" s="6" t="str">
        <f>IF(ISNUMBER(SEARCH("Ph.D",E56)),
    IF(OR(Data_count!F56="",Data_count!G56=""),"",
       IF(AND(Data_count!F56&lt;=720,Data_count!G56&lt;=720),"1","0")),
    IF(Data_count!F56="","",
       IF(Data_count!F56&lt;=450,"1","0"))
)</f>
        <v/>
      </c>
      <c r="I56" s="6" t="str">
        <f>IF(Data_count!E56="","",IF(Data_count!E56&lt;0,0,1))</f>
        <v/>
      </c>
      <c r="J56" t="str">
        <f t="shared" si="0"/>
        <v/>
      </c>
    </row>
    <row r="57" spans="1:10">
      <c r="A57" t="str">
        <f>IF(Data_input!A57="","",Data_input!A57)</f>
        <v/>
      </c>
      <c r="B57" t="str">
        <f>IF(Data_input!B57="","",Data_input!B57)</f>
        <v/>
      </c>
      <c r="C57" t="str">
        <f>IF(Data_input!C57="","",Data_input!C57)</f>
        <v/>
      </c>
      <c r="D57" t="str">
        <f>IF(Data_input!K57="","",Data_input!K57)</f>
        <v/>
      </c>
      <c r="E57" t="str">
        <f>IF(Data_input!L57="","",Data_input!L57)</f>
        <v/>
      </c>
      <c r="F57" s="6" t="str">
        <f>IF(Data_Mark!F57="","",
   IF(Data_Mark!F57&gt;0,"1","0"))</f>
        <v/>
      </c>
      <c r="G57" s="6" t="str">
        <f>IF(Student_Status!F57="","",
   IF(Student_Status!F57&gt;0,"1","0"))</f>
        <v/>
      </c>
      <c r="H57" s="6" t="str">
        <f>IF(ISNUMBER(SEARCH("Ph.D",E57)),
    IF(OR(Data_count!F57="",Data_count!G57=""),"",
       IF(AND(Data_count!F57&lt;=720,Data_count!G57&lt;=720),"1","0")),
    IF(Data_count!F57="","",
       IF(Data_count!F57&lt;=450,"1","0"))
)</f>
        <v/>
      </c>
      <c r="I57" s="6" t="str">
        <f>IF(Data_count!E57="","",IF(Data_count!E57&lt;0,0,1))</f>
        <v/>
      </c>
      <c r="J57" t="str">
        <f t="shared" si="0"/>
        <v/>
      </c>
    </row>
    <row r="58" spans="1:10">
      <c r="A58" t="str">
        <f>IF(Data_input!A58="","",Data_input!A58)</f>
        <v/>
      </c>
      <c r="B58" t="str">
        <f>IF(Data_input!B58="","",Data_input!B58)</f>
        <v/>
      </c>
      <c r="C58" t="str">
        <f>IF(Data_input!C58="","",Data_input!C58)</f>
        <v/>
      </c>
      <c r="D58" t="str">
        <f>IF(Data_input!K58="","",Data_input!K58)</f>
        <v/>
      </c>
      <c r="E58" t="str">
        <f>IF(Data_input!L58="","",Data_input!L58)</f>
        <v/>
      </c>
      <c r="F58" s="6" t="str">
        <f>IF(Data_Mark!F58="","",
   IF(Data_Mark!F58&gt;0,"1","0"))</f>
        <v/>
      </c>
      <c r="G58" s="6" t="str">
        <f>IF(Student_Status!F58="","",
   IF(Student_Status!F58&gt;0,"1","0"))</f>
        <v/>
      </c>
      <c r="H58" s="6" t="str">
        <f>IF(ISNUMBER(SEARCH("Ph.D",E58)),
    IF(OR(Data_count!F58="",Data_count!G58=""),"",
       IF(AND(Data_count!F58&lt;=720,Data_count!G58&lt;=720),"1","0")),
    IF(Data_count!F58="","",
       IF(Data_count!F58&lt;=450,"1","0"))
)</f>
        <v/>
      </c>
      <c r="I58" s="6" t="str">
        <f>IF(Data_count!E58="","",IF(Data_count!E58&lt;0,0,1))</f>
        <v/>
      </c>
      <c r="J58" t="str">
        <f t="shared" si="0"/>
        <v/>
      </c>
    </row>
    <row r="59" spans="1:10">
      <c r="A59" t="str">
        <f>IF(Data_input!A59="","",Data_input!A59)</f>
        <v/>
      </c>
      <c r="B59" t="str">
        <f>IF(Data_input!B59="","",Data_input!B59)</f>
        <v/>
      </c>
      <c r="C59" t="str">
        <f>IF(Data_input!C59="","",Data_input!C59)</f>
        <v/>
      </c>
      <c r="D59" t="str">
        <f>IF(Data_input!K59="","",Data_input!K59)</f>
        <v/>
      </c>
      <c r="E59" t="str">
        <f>IF(Data_input!L59="","",Data_input!L59)</f>
        <v/>
      </c>
      <c r="F59" s="6" t="str">
        <f>IF(Data_Mark!F59="","",
   IF(Data_Mark!F59&gt;0,"1","0"))</f>
        <v/>
      </c>
      <c r="G59" s="6" t="str">
        <f>IF(Student_Status!F59="","",
   IF(Student_Status!F59&gt;0,"1","0"))</f>
        <v/>
      </c>
      <c r="H59" s="6" t="str">
        <f>IF(ISNUMBER(SEARCH("Ph.D",E59)),
    IF(OR(Data_count!F59="",Data_count!G59=""),"",
       IF(AND(Data_count!F59&lt;=720,Data_count!G59&lt;=720),"1","0")),
    IF(Data_count!F59="","",
       IF(Data_count!F59&lt;=450,"1","0"))
)</f>
        <v/>
      </c>
      <c r="I59" s="6" t="str">
        <f>IF(Data_count!E59="","",IF(Data_count!E59&lt;0,0,1))</f>
        <v/>
      </c>
      <c r="J59" t="str">
        <f t="shared" si="0"/>
        <v/>
      </c>
    </row>
    <row r="60" spans="1:10">
      <c r="A60" t="str">
        <f>IF(Data_input!A60="","",Data_input!A60)</f>
        <v/>
      </c>
      <c r="B60" t="str">
        <f>IF(Data_input!B60="","",Data_input!B60)</f>
        <v/>
      </c>
      <c r="C60" t="str">
        <f>IF(Data_input!C60="","",Data_input!C60)</f>
        <v/>
      </c>
      <c r="D60" t="str">
        <f>IF(Data_input!K60="","",Data_input!K60)</f>
        <v/>
      </c>
      <c r="E60" t="str">
        <f>IF(Data_input!L60="","",Data_input!L60)</f>
        <v/>
      </c>
      <c r="F60" s="6" t="str">
        <f>IF(Data_Mark!F60="","",
   IF(Data_Mark!F60&gt;0,"1","0"))</f>
        <v/>
      </c>
      <c r="G60" s="6" t="str">
        <f>IF(Student_Status!F60="","",
   IF(Student_Status!F60&gt;0,"1","0"))</f>
        <v/>
      </c>
      <c r="H60" s="6" t="str">
        <f>IF(ISNUMBER(SEARCH("Ph.D",E60)),
    IF(OR(Data_count!F60="",Data_count!G60=""),"",
       IF(AND(Data_count!F60&lt;=720,Data_count!G60&lt;=720),"1","0")),
    IF(Data_count!F60="","",
       IF(Data_count!F60&lt;=450,"1","0"))
)</f>
        <v/>
      </c>
      <c r="I60" s="6" t="str">
        <f>IF(Data_count!E60="","",IF(Data_count!E60&lt;0,0,1))</f>
        <v/>
      </c>
      <c r="J60" t="str">
        <f t="shared" si="0"/>
        <v/>
      </c>
    </row>
    <row r="61" spans="1:10">
      <c r="A61" t="str">
        <f>IF(Data_input!A61="","",Data_input!A61)</f>
        <v/>
      </c>
    </row>
    <row r="62" spans="1:10">
      <c r="A62" t="str">
        <f>IF(Data_input!A62="","",Data_input!A62)</f>
        <v/>
      </c>
    </row>
    <row r="63" spans="1:10">
      <c r="A63" t="str">
        <f>IF(Data_input!A63="","",Data_input!A63)</f>
        <v/>
      </c>
    </row>
    <row r="64" spans="1:10">
      <c r="A64" t="str">
        <f>IF(Data_input!A64="","",Data_input!A64)</f>
        <v/>
      </c>
    </row>
    <row r="65" spans="1:1">
      <c r="A65" t="str">
        <f>IF(Data_input!A65="","",Data_input!A65)</f>
        <v/>
      </c>
    </row>
    <row r="66" spans="1:1">
      <c r="A66" t="str">
        <f>IF(Data_input!A66="","",Data_input!A66)</f>
        <v/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0BC3-61A7-4358-969C-FF7542E8BDE9}">
  <dimension ref="A1:J66"/>
  <sheetViews>
    <sheetView topLeftCell="C1" workbookViewId="0">
      <selection activeCell="F6" sqref="F6"/>
    </sheetView>
  </sheetViews>
  <sheetFormatPr defaultRowHeight="13.8"/>
  <cols>
    <col min="1" max="1" width="12.21875" customWidth="1"/>
    <col min="2" max="2" width="14" customWidth="1"/>
    <col min="3" max="3" width="33.5546875" customWidth="1"/>
    <col min="4" max="5" width="24.21875" customWidth="1"/>
    <col min="6" max="6" width="18.44140625" customWidth="1"/>
    <col min="7" max="7" width="22.6640625" customWidth="1"/>
    <col min="8" max="8" width="17.88671875" customWidth="1"/>
    <col min="9" max="9" width="30.6640625" customWidth="1"/>
    <col min="10" max="10" width="17.6640625" customWidth="1"/>
  </cols>
  <sheetData>
    <row r="1" spans="1:10">
      <c r="A1" t="s">
        <v>0</v>
      </c>
      <c r="B1" t="s">
        <v>1</v>
      </c>
      <c r="C1" t="s">
        <v>2</v>
      </c>
      <c r="D1" t="s">
        <v>12</v>
      </c>
      <c r="E1" t="s">
        <v>11</v>
      </c>
      <c r="F1" t="s">
        <v>93</v>
      </c>
      <c r="G1" s="7" t="s">
        <v>94</v>
      </c>
      <c r="H1" t="s">
        <v>89</v>
      </c>
      <c r="I1" t="s">
        <v>114</v>
      </c>
      <c r="J1" t="s">
        <v>95</v>
      </c>
    </row>
    <row r="2" spans="1:10">
      <c r="A2" t="str">
        <f>IF(Data_input!A2="","",Data_input!A2)</f>
        <v>247R1</v>
      </c>
      <c r="B2" t="str">
        <f>IF(Data_input!B2="","",Data_input!B2)</f>
        <v>250PA247R8</v>
      </c>
      <c r="C2" t="str">
        <f>IF(Data_input!C2="","",Data_input!C2)</f>
        <v>USMAN YAU</v>
      </c>
      <c r="D2" t="str">
        <f>IF(Data_input!L2="","",Data_input!L2)</f>
        <v>Ph.D. (Eng)</v>
      </c>
      <c r="E2" t="str">
        <f>IF(Data_input!K2="","",Data_input!K2)</f>
        <v>Full-Time</v>
      </c>
      <c r="F2">
        <f>IF(Data_count!D2="","",
IF(ISNUMBER(SEARCH("Ph.D",D2)),
   IF(ISNUMBER(SEARCH("Full-Time",E2)),
      IF(Data_count!D2&lt;=270,10,IF(Data_count!D2&gt;=360,0,ROUND((360-Data_count!D2)/9,0))),
      IF(Data_count!D2&lt;=360,10,IF(Data_count!D2&gt;=450,0,ROUND((450-Data_count!D2)/9,0)))
   ),
   IF(ISNUMBER(SEARCH("Full-Time",E2)),
      IF(Data_count!D2&lt;=180,10,IF(Data_count!D2&gt;=270,0,ROUND((270-Data_count!D2)/9,0))),
      IF(Data_count!D2&lt;=270,10,IF(Data_count!D2&gt;=360,0,ROUND((360-Data_count!D2)/9,0)))
   )
))</f>
        <v>10</v>
      </c>
      <c r="G2">
        <f>IF(Data_count!E2="","",
IF(Data_count!E2&lt;=0,0,
MIN(10, INT(Data_count!E2/36)*2)))</f>
        <v>10</v>
      </c>
      <c r="H2">
        <f>IF(A2="","",IF(COUNTIF(PPM_Student!E2:'PPM_Student'!T2,"US")&gt;=3,0,10-COUNTIF(PPM_Student!E2:'PPM_Student'!T2,"US")))</f>
        <v>10</v>
      </c>
      <c r="I2">
        <f>IF(Data_count!F2="","",
IF(ISNUMBER(SEARCH("Ph.D",D2)),
   IF(Data_count!G2="","",
      ROUND(
        ( MAX(0,10-QUOTIENT(MAX(0,Data_count!F2-720),7))
        + MAX(0,10-QUOTIENT(MAX(0,Data_count!G2-720),7)) )/2, 0)
   ),
   MAX(0,10-QUOTIENT(MAX(0,Data_count!F2-450),7))
))</f>
        <v>10</v>
      </c>
      <c r="J2">
        <f>IF(A2="","",SUM(F2:I2))</f>
        <v>40</v>
      </c>
    </row>
    <row r="3" spans="1:10">
      <c r="A3" t="str">
        <f>IF(Data_input!A3="","",Data_input!A3)</f>
        <v>247R4</v>
      </c>
      <c r="B3" t="str">
        <f>IF(Data_input!B3="","",Data_input!B3)</f>
        <v>250PA247R1</v>
      </c>
      <c r="C3" t="str">
        <f>IF(Data_input!C3="","",Data_input!C3)</f>
        <v>KHAN IRFAN</v>
      </c>
      <c r="D3" t="str">
        <f>IF(Data_input!L3="","",Data_input!L3)</f>
        <v>Ph.D. (Eng)</v>
      </c>
      <c r="E3" t="str">
        <f>IF(Data_input!K3="","",Data_input!K3)</f>
        <v>Full-Time</v>
      </c>
      <c r="F3">
        <f>IF(Data_count!D3="","",
IF(ISNUMBER(SEARCH("Ph.D",D3)),
   IF(ISNUMBER(SEARCH("Full-Time",E3)),
      IF(Data_count!D3&lt;=270,10,IF(Data_count!D3&gt;=360,0,ROUND((360-Data_count!D3)/9,0))),
      IF(Data_count!D3&lt;=360,10,IF(Data_count!D3&gt;=450,0,ROUND((450-Data_count!D3)/9,0)))
   ),
   IF(ISNUMBER(SEARCH("Full-Time",E3)),
      IF(Data_count!D3&lt;=180,10,IF(Data_count!D3&gt;=270,0,ROUND((270-Data_count!D3)/9,0))),
      IF(Data_count!D3&lt;=270,10,IF(Data_count!D3&gt;=360,0,ROUND((360-Data_count!D3)/9,0)))
   )
))</f>
        <v>10</v>
      </c>
      <c r="G3">
        <f>IF(Data_count!E3="","",
IF(Data_count!E3&lt;=0,0,
MIN(10, INT(Data_count!E3/36)*2)))</f>
        <v>10</v>
      </c>
      <c r="H3">
        <f>IF(A3="","",IF(COUNTIF(PPM_Student!E3:'PPM_Student'!T3,"US")&gt;=3,0,10-COUNTIF(PPM_Student!E3:'PPM_Student'!T3,"US")))</f>
        <v>10</v>
      </c>
      <c r="I3">
        <f>IF(Data_count!F3="","",
IF(ISNUMBER(SEARCH("Ph.D",D3)),
   IF(Data_count!G3="","",
      ROUND(
        ( MAX(0,10-QUOTIENT(MAX(0,Data_count!F3-720),7))
        + MAX(0,10-QUOTIENT(MAX(0,Data_count!G3-720),7)) )/2, 0)
   ),
   MAX(0,10-QUOTIENT(MAX(0,Data_count!F3-450),7))
))</f>
        <v>10</v>
      </c>
      <c r="J3">
        <f t="shared" ref="J3:J60" si="0">IF(A3="","",SUM(F3:I3))</f>
        <v>40</v>
      </c>
    </row>
    <row r="4" spans="1:10">
      <c r="A4" t="str">
        <f>IF(Data_input!A4="","",Data_input!A4)</f>
        <v>247R8</v>
      </c>
      <c r="B4" t="str">
        <f>IF(Data_input!B4="","",Data_input!B4)</f>
        <v>250PA247R2</v>
      </c>
      <c r="C4" t="str">
        <f>IF(Data_input!C4="","",Data_input!C4)</f>
        <v>JAYAKANTHAN A/L M. LACHMANAN</v>
      </c>
      <c r="D4" t="str">
        <f>IF(Data_input!L4="","",Data_input!L4)</f>
        <v>Ph.D. (Eng)</v>
      </c>
      <c r="E4" t="str">
        <f>IF(Data_input!K4="","",Data_input!K4)</f>
        <v>Full-Time</v>
      </c>
      <c r="F4">
        <f>IF(Data_count!D4="","",
IF(ISNUMBER(SEARCH("Ph.D",D4)),
   IF(ISNUMBER(SEARCH("Full-Time",E4)),
      IF(Data_count!D4&lt;=270,10,IF(Data_count!D4&gt;=360,0,ROUND((360-Data_count!D4)/9,0))),
      IF(Data_count!D4&lt;=360,10,IF(Data_count!D4&gt;=450,0,ROUND((450-Data_count!D4)/9,0)))
   ),
   IF(ISNUMBER(SEARCH("Full-Time",E4)),
      IF(Data_count!D4&lt;=180,10,IF(Data_count!D4&gt;=270,0,ROUND((270-Data_count!D4)/9,0))),
      IF(Data_count!D4&lt;=270,10,IF(Data_count!D4&gt;=360,0,ROUND((360-Data_count!D4)/9,0)))
   )
))</f>
        <v>10</v>
      </c>
      <c r="G4">
        <f>IF(Data_count!E4="","",
IF(Data_count!E4&lt;=0,0,
MIN(10, INT(Data_count!E4/36)*2)))</f>
        <v>10</v>
      </c>
      <c r="H4">
        <f>IF(A4="","",IF(COUNTIF(PPM_Student!E4:'PPM_Student'!T4,"US")&gt;=3,0,10-COUNTIF(PPM_Student!E4:'PPM_Student'!T4,"US")))</f>
        <v>8</v>
      </c>
      <c r="I4">
        <f>IF(Data_count!F4="","",
IF(ISNUMBER(SEARCH("Ph.D",D4)),
   IF(Data_count!G4="","",
      ROUND(
        ( MAX(0,10-QUOTIENT(MAX(0,Data_count!F4-720),7))
        + MAX(0,10-QUOTIENT(MAX(0,Data_count!G4-720),7)) )/2, 0)
   ),
   MAX(0,10-QUOTIENT(MAX(0,Data_count!F4-450),7))
))</f>
        <v>10</v>
      </c>
      <c r="J4">
        <f t="shared" si="0"/>
        <v>38</v>
      </c>
    </row>
    <row r="5" spans="1:10">
      <c r="A5" t="str">
        <f>IF(Data_input!A5="","",Data_input!A5)</f>
        <v>247R3</v>
      </c>
      <c r="B5" t="str">
        <f>IF(Data_input!B5="","",Data_input!B5)</f>
        <v>250PA247R5</v>
      </c>
      <c r="C5" t="str">
        <f>IF(Data_input!C5="","",Data_input!C5)</f>
        <v>IDRIS OLALEKAN ADEOYE</v>
      </c>
      <c r="D5" t="str">
        <f>IF(Data_input!L5="","",Data_input!L5)</f>
        <v>Ph.D. (Eng)</v>
      </c>
      <c r="E5" t="str">
        <f>IF(Data_input!K5="","",Data_input!K5)</f>
        <v>Full-Time</v>
      </c>
      <c r="F5">
        <f>IF(Data_count!D5="","",
IF(ISNUMBER(SEARCH("Ph.D",D5)),
   IF(ISNUMBER(SEARCH("Full-Time",E5)),
      IF(Data_count!D5&lt;=270,10,IF(Data_count!D5&gt;=360,0,ROUND((360-Data_count!D5)/9,0))),
      IF(Data_count!D5&lt;=360,10,IF(Data_count!D5&gt;=450,0,ROUND((450-Data_count!D5)/9,0)))
   ),
   IF(ISNUMBER(SEARCH("Full-Time",E5)),
      IF(Data_count!D5&lt;=180,10,IF(Data_count!D5&gt;=270,0,ROUND((270-Data_count!D5)/9,0))),
      IF(Data_count!D5&lt;=270,10,IF(Data_count!D5&gt;=360,0,ROUND((360-Data_count!D5)/9,0)))
   )
))</f>
        <v>10</v>
      </c>
      <c r="G5">
        <f>IF(Data_count!E5="","",
IF(Data_count!E5&lt;=0,0,
MIN(10, INT(Data_count!E5/36)*2)))</f>
        <v>8</v>
      </c>
      <c r="H5">
        <f>IF(A5="","",IF(COUNTIF(PPM_Student!E5:'PPM_Student'!T5,"US")&gt;=3,0,10-COUNTIF(PPM_Student!E5:'PPM_Student'!T5,"US")))</f>
        <v>10</v>
      </c>
      <c r="I5">
        <f>IF(Data_count!F5="","",
IF(ISNUMBER(SEARCH("Ph.D",D5)),
   IF(Data_count!G5="","",
      ROUND(
        ( MAX(0,10-QUOTIENT(MAX(0,Data_count!F5-720),7))
        + MAX(0,10-QUOTIENT(MAX(0,Data_count!G5-720),7)) )/2, 0)
   ),
   MAX(0,10-QUOTIENT(MAX(0,Data_count!F5-450),7))
))</f>
        <v>10</v>
      </c>
      <c r="J5">
        <f t="shared" si="0"/>
        <v>38</v>
      </c>
    </row>
    <row r="6" spans="1:10">
      <c r="A6" t="str">
        <f>IF(Data_input!A6="","",Data_input!A6)</f>
        <v>247R7</v>
      </c>
      <c r="B6" t="str">
        <f>IF(Data_input!B6="","",Data_input!B6)</f>
        <v>250PA247R7</v>
      </c>
      <c r="C6" t="str">
        <f>IF(Data_input!C6="","",Data_input!C6)</f>
        <v>NUHU DAN-AZUMI MUHAMMAD</v>
      </c>
      <c r="D6" t="str">
        <f>IF(Data_input!L6="","",Data_input!L6)</f>
        <v>Ph.D. (Eng)</v>
      </c>
      <c r="E6" t="str">
        <f>IF(Data_input!K6="","",Data_input!K6)</f>
        <v>Full-Time</v>
      </c>
      <c r="F6">
        <f>IF(Data_count!D6="","",
IF(ISNUMBER(SEARCH("Ph.D",D6)),
   IF(ISNUMBER(SEARCH("Full-Time",E6)),
      IF(Data_count!D6&lt;=270,10,IF(Data_count!D6&gt;=360,0,ROUND((360-Data_count!D6)/9,0))),
      IF(Data_count!D6&lt;=360,10,IF(Data_count!D6&gt;=450,0,ROUND((450-Data_count!D6)/9,0)))
   ),
   IF(ISNUMBER(SEARCH("Full-Time",E6)),
      IF(Data_count!D6&lt;=180,10,IF(Data_count!D6&gt;=270,0,ROUND((270-Data_count!D6)/9,0))),
      IF(Data_count!D6&lt;=270,10,IF(Data_count!D6&gt;=360,0,ROUND((360-Data_count!D6)/9,0)))
   )
))</f>
        <v>10</v>
      </c>
      <c r="G6">
        <f>IF(Data_count!E6="","",
IF(Data_count!E6&lt;=0,0,
MIN(10, INT(Data_count!E6/36)*2)))</f>
        <v>6</v>
      </c>
      <c r="H6">
        <f>IF(A6="","",IF(COUNTIF(PPM_Student!E6:'PPM_Student'!T6,"US")&gt;=3,0,10-COUNTIF(PPM_Student!E6:'PPM_Student'!T6,"US")))</f>
        <v>10</v>
      </c>
      <c r="I6">
        <f>IF(Data_count!F6="","",
IF(ISNUMBER(SEARCH("Ph.D",D6)),
   IF(Data_count!G6="","",
      ROUND(
        ( MAX(0,10-QUOTIENT(MAX(0,Data_count!F6-720),7))
        + MAX(0,10-QUOTIENT(MAX(0,Data_count!G6-720),7)) )/2, 0)
   ),
   MAX(0,10-QUOTIENT(MAX(0,Data_count!F6-450),7))
))</f>
        <v>10</v>
      </c>
      <c r="J6">
        <f t="shared" si="0"/>
        <v>36</v>
      </c>
    </row>
    <row r="7" spans="1:10">
      <c r="A7" t="str">
        <f>IF(Data_input!A7="","",Data_input!A7)</f>
        <v>2508F</v>
      </c>
      <c r="B7" t="str">
        <f>IF(Data_input!B7="","",Data_input!B7)</f>
        <v>250PA257R3</v>
      </c>
      <c r="C7" t="str">
        <f>IF(Data_input!C7="","",Data_input!C7)</f>
        <v>NAZ ANUM</v>
      </c>
      <c r="D7" t="str">
        <f>IF(Data_input!L7="","",Data_input!L7)</f>
        <v>Ph.D. (Eng)</v>
      </c>
      <c r="E7" t="str">
        <f>IF(Data_input!K7="","",Data_input!K7)</f>
        <v>Full-Time</v>
      </c>
      <c r="F7">
        <f>IF(Data_count!D7="","",
IF(ISNUMBER(SEARCH("Ph.D",D7)),
   IF(ISNUMBER(SEARCH("Full-Time",E7)),
      IF(Data_count!D7&lt;=270,10,IF(Data_count!D7&gt;=360,0,ROUND((360-Data_count!D7)/9,0))),
      IF(Data_count!D7&lt;=360,10,IF(Data_count!D7&gt;=450,0,ROUND((450-Data_count!D7)/9,0)))
   ),
   IF(ISNUMBER(SEARCH("Full-Time",E7)),
      IF(Data_count!D7&lt;=180,10,IF(Data_count!D7&gt;=270,0,ROUND((270-Data_count!D7)/9,0))),
      IF(Data_count!D7&lt;=270,10,IF(Data_count!D7&gt;=360,0,ROUND((360-Data_count!D7)/9,0)))
   )
))</f>
        <v>10</v>
      </c>
      <c r="G7">
        <f>IF(Data_count!E7="","",
IF(Data_count!E7&lt;=0,0,
MIN(10, INT(Data_count!E7/36)*2)))</f>
        <v>6</v>
      </c>
      <c r="H7">
        <f>IF(A7="","",IF(COUNTIF(PPM_Student!E7:'PPM_Student'!T7,"US")&gt;=3,0,10-COUNTIF(PPM_Student!E7:'PPM_Student'!T7,"US")))</f>
        <v>10</v>
      </c>
      <c r="I7">
        <f>IF(Data_count!F7="","",
IF(ISNUMBER(SEARCH("Ph.D",D7)),
   IF(Data_count!G7="","",
      ROUND(
        ( MAX(0,10-QUOTIENT(MAX(0,Data_count!F7-720),7))
        + MAX(0,10-QUOTIENT(MAX(0,Data_count!G7-720),7)) )/2, 0)
   ),
   MAX(0,10-QUOTIENT(MAX(0,Data_count!F7-450),7))
))</f>
        <v>10</v>
      </c>
      <c r="J7">
        <f t="shared" si="0"/>
        <v>36</v>
      </c>
    </row>
    <row r="8" spans="1:10">
      <c r="A8" t="str">
        <f>IF(Data_input!A8="","",Data_input!A8)</f>
        <v>243YN</v>
      </c>
      <c r="B8" t="str">
        <f>IF(Data_input!B8="","",Data_input!B8)</f>
        <v>250PA237R1</v>
      </c>
      <c r="C8" t="str">
        <f>IF(Data_input!C8="","",Data_input!C8)</f>
        <v>NUR SYAZA BINTI ZAKARIA</v>
      </c>
      <c r="D8" t="str">
        <f>IF(Data_input!L8="","",Data_input!L8)</f>
        <v>Ph.D. (Eng)</v>
      </c>
      <c r="E8" t="str">
        <f>IF(Data_input!K8="","",Data_input!K8)</f>
        <v>Full-Time</v>
      </c>
      <c r="F8">
        <f>IF(Data_count!D8="","",
IF(ISNUMBER(SEARCH("Ph.D",D8)),
   IF(ISNUMBER(SEARCH("Full-Time",E8)),
      IF(Data_count!D8&lt;=270,10,IF(Data_count!D8&gt;=360,0,ROUND((360-Data_count!D8)/9,0))),
      IF(Data_count!D8&lt;=360,10,IF(Data_count!D8&gt;=450,0,ROUND((450-Data_count!D8)/9,0)))
   ),
   IF(ISNUMBER(SEARCH("Full-Time",E8)),
      IF(Data_count!D8&lt;=180,10,IF(Data_count!D8&gt;=270,0,ROUND((270-Data_count!D8)/9,0))),
      IF(Data_count!D8&lt;=270,10,IF(Data_count!D8&gt;=360,0,ROUND((360-Data_count!D8)/9,0)))
   )
))</f>
        <v>0</v>
      </c>
      <c r="G8">
        <f>IF(Data_count!E8="","",
IF(Data_count!E8&lt;=0,0,
MIN(10, INT(Data_count!E8/36)*2)))</f>
        <v>0</v>
      </c>
      <c r="H8">
        <f>IF(A8="","",IF(COUNTIF(PPM_Student!E8:'PPM_Student'!T8,"US")&gt;=3,0,10-COUNTIF(PPM_Student!E8:'PPM_Student'!T8,"US")))</f>
        <v>0</v>
      </c>
      <c r="I8">
        <f>IF(Data_count!F8="","",
IF(ISNUMBER(SEARCH("Ph.D",D8)),
   IF(Data_count!G8="","",
      ROUND(
        ( MAX(0,10-QUOTIENT(MAX(0,Data_count!F8-720),7))
        + MAX(0,10-QUOTIENT(MAX(0,Data_count!G8-720),7)) )/2, 0)
   ),
   MAX(0,10-QUOTIENT(MAX(0,Data_count!F8-450),7))
))</f>
        <v>0</v>
      </c>
      <c r="J8">
        <f t="shared" si="0"/>
        <v>0</v>
      </c>
    </row>
    <row r="9" spans="1:10">
      <c r="A9" t="str">
        <f>IF(Data_input!A9="","",Data_input!A9)</f>
        <v>251D4</v>
      </c>
      <c r="B9" t="str">
        <f>IF(Data_input!B9="","",Data_input!B9)</f>
        <v>250PK242QD</v>
      </c>
      <c r="C9" t="str">
        <f>IF(Data_input!C9="","",Data_input!C9)</f>
        <v>YANG XIAO</v>
      </c>
      <c r="D9" t="str">
        <f>IF(Data_input!L9="","",Data_input!L9)</f>
        <v>Ph.D. (Communication)</v>
      </c>
      <c r="E9" t="str">
        <f>IF(Data_input!K9="","",Data_input!K9)</f>
        <v>Full-Time</v>
      </c>
      <c r="F9">
        <f>IF(Data_count!D9="","",
IF(ISNUMBER(SEARCH("Ph.D",D9)),
   IF(ISNUMBER(SEARCH("Full-Time",E9)),
      IF(Data_count!D9&lt;=270,10,IF(Data_count!D9&gt;=360,0,ROUND((360-Data_count!D9)/9,0))),
      IF(Data_count!D9&lt;=360,10,IF(Data_count!D9&gt;=450,0,ROUND((450-Data_count!D9)/9,0)))
   ),
   IF(ISNUMBER(SEARCH("Full-Time",E9)),
      IF(Data_count!D9&lt;=180,10,IF(Data_count!D9&gt;=270,0,ROUND((270-Data_count!D9)/9,0))),
      IF(Data_count!D9&lt;=270,10,IF(Data_count!D9&gt;=360,0,ROUND((360-Data_count!D9)/9,0)))
   )
))</f>
        <v>0</v>
      </c>
      <c r="G9">
        <f>IF(Data_count!E9="","",
IF(Data_count!E9&lt;=0,0,
MIN(10, INT(Data_count!E9/36)*2)))</f>
        <v>0</v>
      </c>
      <c r="H9">
        <f>IF(A9="","",IF(COUNTIF(PPM_Student!E9:'PPM_Student'!T9,"US")&gt;=3,0,10-COUNTIF(PPM_Student!E9:'PPM_Student'!T9,"US")))</f>
        <v>0</v>
      </c>
      <c r="I9">
        <f>IF(Data_count!F9="","",
IF(ISNUMBER(SEARCH("Ph.D",D9)),
   IF(Data_count!G9="","",
      ROUND(
        ( MAX(0,10-QUOTIENT(MAX(0,Data_count!F9-720),7))
        + MAX(0,10-QUOTIENT(MAX(0,Data_count!G9-720),7)) )/2, 0)
   ),
   MAX(0,10-QUOTIENT(MAX(0,Data_count!F9-450),7))
))</f>
        <v>0</v>
      </c>
      <c r="J9">
        <f t="shared" si="0"/>
        <v>0</v>
      </c>
    </row>
    <row r="10" spans="1:10">
      <c r="A10" t="str">
        <f>IF(Data_input!A10="","",Data_input!A10)</f>
        <v>2458H</v>
      </c>
      <c r="B10" t="str">
        <f>IF(Data_input!B10="","",Data_input!B10)</f>
        <v>250PK232QD</v>
      </c>
      <c r="C10" t="str">
        <f>IF(Data_input!C10="","",Data_input!C10)</f>
        <v>MD MUSLIM UDDIN AHMED PIPUL</v>
      </c>
      <c r="D10" t="str">
        <f>IF(Data_input!L10="","",Data_input!L10)</f>
        <v>Ph.D. (Communication)</v>
      </c>
      <c r="E10" t="str">
        <f>IF(Data_input!K10="","",Data_input!K10)</f>
        <v>Full-Time</v>
      </c>
      <c r="F10">
        <f>IF(Data_count!D10="","",
IF(ISNUMBER(SEARCH("Ph.D",D10)),
   IF(ISNUMBER(SEARCH("Full-Time",E10)),
      IF(Data_count!D10&lt;=270,10,IF(Data_count!D10&gt;=360,0,ROUND((360-Data_count!D10)/9,0))),
      IF(Data_count!D10&lt;=360,10,IF(Data_count!D10&gt;=450,0,ROUND((450-Data_count!D10)/9,0)))
   ),
   IF(ISNUMBER(SEARCH("Full-Time",E10)),
      IF(Data_count!D10&lt;=180,10,IF(Data_count!D10&gt;=270,0,ROUND((270-Data_count!D10)/9,0))),
      IF(Data_count!D10&lt;=270,10,IF(Data_count!D10&gt;=360,0,ROUND((360-Data_count!D10)/9,0)))
   )
))</f>
        <v>0</v>
      </c>
      <c r="G10">
        <f>IF(Data_count!E10="","",
IF(Data_count!E10&lt;=0,0,
MIN(10, INT(Data_count!E10/36)*2)))</f>
        <v>0</v>
      </c>
      <c r="H10">
        <f>IF(A10="","",IF(COUNTIF(PPM_Student!E10:'PPM_Student'!T10,"US")&gt;=3,0,10-COUNTIF(PPM_Student!E10:'PPM_Student'!T10,"US")))</f>
        <v>0</v>
      </c>
      <c r="I10">
        <f>IF(Data_count!F10="","",
IF(ISNUMBER(SEARCH("Ph.D",D10)),
   IF(Data_count!G10="","",
      ROUND(
        ( MAX(0,10-QUOTIENT(MAX(0,Data_count!F10-720),7))
        + MAX(0,10-QUOTIENT(MAX(0,Data_count!G10-720),7)) )/2, 0)
   ),
   MAX(0,10-QUOTIENT(MAX(0,Data_count!F10-450),7))
))</f>
        <v>0</v>
      </c>
      <c r="J10">
        <f t="shared" si="0"/>
        <v>0</v>
      </c>
    </row>
    <row r="11" spans="1:10">
      <c r="A11" t="str">
        <f>IF(Data_input!A11="","",Data_input!A11)</f>
        <v>252QD</v>
      </c>
      <c r="B11" t="str">
        <f>IF(Data_input!B11="","",Data_input!B11)</f>
        <v>250PK222QD</v>
      </c>
      <c r="C11" t="str">
        <f>IF(Data_input!C11="","",Data_input!C11)</f>
        <v>JOANNA A/P JAYAPRAKASH</v>
      </c>
      <c r="D11" t="str">
        <f>IF(Data_input!L11="","",Data_input!L11)</f>
        <v>Ph.D. (Communication)</v>
      </c>
      <c r="E11" t="str">
        <f>IF(Data_input!K11="","",Data_input!K11)</f>
        <v>Full-Time</v>
      </c>
      <c r="F11">
        <f>IF(Data_count!D11="","",
IF(ISNUMBER(SEARCH("Ph.D",D11)),
   IF(ISNUMBER(SEARCH("Full-Time",E11)),
      IF(Data_count!D11&lt;=270,10,IF(Data_count!D11&gt;=360,0,ROUND((360-Data_count!D11)/9,0))),
      IF(Data_count!D11&lt;=360,10,IF(Data_count!D11&gt;=450,0,ROUND((450-Data_count!D11)/9,0)))
   ),
   IF(ISNUMBER(SEARCH("Full-Time",E11)),
      IF(Data_count!D11&lt;=180,10,IF(Data_count!D11&gt;=270,0,ROUND((270-Data_count!D11)/9,0))),
      IF(Data_count!D11&lt;=270,10,IF(Data_count!D11&gt;=360,0,ROUND((360-Data_count!D11)/9,0)))
   )
))</f>
        <v>0</v>
      </c>
      <c r="G11">
        <f>IF(Data_count!E11="","",
IF(Data_count!E11&lt;=0,0,
MIN(10, INT(Data_count!E11/36)*2)))</f>
        <v>0</v>
      </c>
      <c r="H11">
        <f>IF(A11="","",IF(COUNTIF(PPM_Student!E11:'PPM_Student'!T11,"US")&gt;=3,0,10-COUNTIF(PPM_Student!E11:'PPM_Student'!T11,"US")))</f>
        <v>0</v>
      </c>
      <c r="I11">
        <f>IF(Data_count!F11="","",
IF(ISNUMBER(SEARCH("Ph.D",D11)),
   IF(Data_count!G11="","",
      ROUND(
        ( MAX(0,10-QUOTIENT(MAX(0,Data_count!F11-720),7))
        + MAX(0,10-QUOTIENT(MAX(0,Data_count!G11-720),7)) )/2, 0)
   ),
   MAX(0,10-QUOTIENT(MAX(0,Data_count!F11-450),7))
))</f>
        <v>0</v>
      </c>
      <c r="J11">
        <f t="shared" si="0"/>
        <v>0</v>
      </c>
    </row>
    <row r="12" spans="1:10">
      <c r="A12" t="str">
        <f>IF(Data_input!A12="","",Data_input!A12)</f>
        <v>243YN</v>
      </c>
      <c r="B12" t="str">
        <f>IF(Data_input!B12="","",Data_input!B12)</f>
        <v>250PK212QD</v>
      </c>
      <c r="C12" t="str">
        <f>IF(Data_input!C12="","",Data_input!C12)</f>
        <v>HAMZA BASHER ALAMIN BARKA</v>
      </c>
      <c r="D12" t="str">
        <f>IF(Data_input!L12="","",Data_input!L12)</f>
        <v>Ph.D. (Communication)</v>
      </c>
      <c r="E12" t="str">
        <f>IF(Data_input!K12="","",Data_input!K12)</f>
        <v>Part-Time</v>
      </c>
      <c r="F12">
        <f>IF(Data_count!D12="","",
IF(ISNUMBER(SEARCH("Ph.D",D12)),
   IF(ISNUMBER(SEARCH("Full-Time",E12)),
      IF(Data_count!D12&lt;=270,10,IF(Data_count!D12&gt;=360,0,ROUND((360-Data_count!D12)/9,0))),
      IF(Data_count!D12&lt;=360,10,IF(Data_count!D12&gt;=450,0,ROUND((450-Data_count!D12)/9,0)))
   ),
   IF(ISNUMBER(SEARCH("Full-Time",E12)),
      IF(Data_count!D12&lt;=180,10,IF(Data_count!D12&gt;=270,0,ROUND((270-Data_count!D12)/9,0))),
      IF(Data_count!D12&lt;=270,10,IF(Data_count!D12&gt;=360,0,ROUND((360-Data_count!D12)/9,0)))
   )
))</f>
        <v>10</v>
      </c>
      <c r="G12">
        <f>IF(Data_count!E12="","",
IF(Data_count!E12&lt;=0,0,
MIN(10, INT(Data_count!E12/36)*2)))</f>
        <v>10</v>
      </c>
      <c r="H12">
        <f>IF(A12="","",IF(COUNTIF(PPM_Student!E12:'PPM_Student'!T12,"US")&gt;=3,0,10-COUNTIF(PPM_Student!E12:'PPM_Student'!T12,"US")))</f>
        <v>10</v>
      </c>
      <c r="I12">
        <f>IF(Data_count!F12="","",
IF(ISNUMBER(SEARCH("Ph.D",D12)),
   IF(Data_count!G12="","",
      ROUND(
        ( MAX(0,10-QUOTIENT(MAX(0,Data_count!F12-720),7))
        + MAX(0,10-QUOTIENT(MAX(0,Data_count!G12-720),7)) )/2, 0)
   ),
   MAX(0,10-QUOTIENT(MAX(0,Data_count!F12-450),7))
))</f>
        <v>10</v>
      </c>
      <c r="J12">
        <f t="shared" si="0"/>
        <v>40</v>
      </c>
    </row>
    <row r="13" spans="1:10">
      <c r="A13" t="str">
        <f>IF(Data_input!A13="","",Data_input!A13)</f>
        <v>247R7</v>
      </c>
      <c r="B13" t="str">
        <f>IF(Data_input!B13="","",Data_input!B13)</f>
        <v>250PK272QD</v>
      </c>
      <c r="C13" t="str">
        <f>IF(Data_input!C13="","",Data_input!C13)</f>
        <v>NAHIDA FERDOUS</v>
      </c>
      <c r="D13" t="str">
        <f>IF(Data_input!L13="","",Data_input!L13)</f>
        <v>Ph.D. (Communication)</v>
      </c>
      <c r="E13" t="str">
        <f>IF(Data_input!K13="","",Data_input!K13)</f>
        <v>Part-Time</v>
      </c>
      <c r="F13">
        <f>IF(Data_count!D13="","",
IF(ISNUMBER(SEARCH("Ph.D",D13)),
   IF(ISNUMBER(SEARCH("Full-Time",E13)),
      IF(Data_count!D13&lt;=270,10,IF(Data_count!D13&gt;=360,0,ROUND((360-Data_count!D13)/9,0))),
      IF(Data_count!D13&lt;=360,10,IF(Data_count!D13&gt;=450,0,ROUND((450-Data_count!D13)/9,0)))
   ),
   IF(ISNUMBER(SEARCH("Full-Time",E13)),
      IF(Data_count!D13&lt;=180,10,IF(Data_count!D13&gt;=270,0,ROUND((270-Data_count!D13)/9,0))),
      IF(Data_count!D13&lt;=270,10,IF(Data_count!D13&gt;=360,0,ROUND((360-Data_count!D13)/9,0)))
   )
))</f>
        <v>10</v>
      </c>
      <c r="G13">
        <f>IF(Data_count!E13="","",
IF(Data_count!E13&lt;=0,0,
MIN(10, INT(Data_count!E13/36)*2)))</f>
        <v>10</v>
      </c>
      <c r="H13">
        <f>IF(A13="","",IF(COUNTIF(PPM_Student!E13:'PPM_Student'!T13,"US")&gt;=3,0,10-COUNTIF(PPM_Student!E13:'PPM_Student'!T13,"US")))</f>
        <v>10</v>
      </c>
      <c r="I13">
        <f>IF(Data_count!F13="","",
IF(ISNUMBER(SEARCH("Ph.D",D13)),
   IF(Data_count!G13="","",
      ROUND(
        ( MAX(0,10-QUOTIENT(MAX(0,Data_count!F13-720),7))
        + MAX(0,10-QUOTIENT(MAX(0,Data_count!G13-720),7)) )/2, 0)
   ),
   MAX(0,10-QUOTIENT(MAX(0,Data_count!F13-450),7))
))</f>
        <v>10</v>
      </c>
      <c r="J13">
        <f t="shared" si="0"/>
        <v>40</v>
      </c>
    </row>
    <row r="14" spans="1:10">
      <c r="A14" t="str">
        <f>IF(Data_input!A14="","",Data_input!A14)</f>
        <v>2458H</v>
      </c>
      <c r="B14" t="str">
        <f>IF(Data_input!B14="","",Data_input!B14)</f>
        <v>250PK251QD</v>
      </c>
      <c r="C14" t="str">
        <f>IF(Data_input!C14="","",Data_input!C14)</f>
        <v>NAHIDA ANUM</v>
      </c>
      <c r="D14" t="str">
        <f>IF(Data_input!L14="","",Data_input!L14)</f>
        <v>Ph.D. (Communication)</v>
      </c>
      <c r="E14" t="str">
        <f>IF(Data_input!K14="","",Data_input!K14)</f>
        <v>Part-Time</v>
      </c>
      <c r="F14">
        <f>IF(Data_count!D14="","",
IF(ISNUMBER(SEARCH("Ph.D",D14)),
   IF(ISNUMBER(SEARCH("Full-Time",E14)),
      IF(Data_count!D14&lt;=270,10,IF(Data_count!D14&gt;=360,0,ROUND((360-Data_count!D14)/9,0))),
      IF(Data_count!D14&lt;=360,10,IF(Data_count!D14&gt;=450,0,ROUND((450-Data_count!D14)/9,0)))
   ),
   IF(ISNUMBER(SEARCH("Full-Time",E14)),
      IF(Data_count!D14&lt;=180,10,IF(Data_count!D14&gt;=270,0,ROUND((270-Data_count!D14)/9,0))),
      IF(Data_count!D14&lt;=270,10,IF(Data_count!D14&gt;=360,0,ROUND((360-Data_count!D14)/9,0)))
   )
))</f>
        <v>10</v>
      </c>
      <c r="G14">
        <f>IF(Data_count!E14="","",
IF(Data_count!E14&lt;=0,0,
MIN(10, INT(Data_count!E14/36)*2)))</f>
        <v>10</v>
      </c>
      <c r="H14">
        <f>IF(A14="","",IF(COUNTIF(PPM_Student!E14:'PPM_Student'!T14,"US")&gt;=3,0,10-COUNTIF(PPM_Student!E14:'PPM_Student'!T14,"US")))</f>
        <v>10</v>
      </c>
      <c r="I14">
        <f>IF(Data_count!F14="","",
IF(ISNUMBER(SEARCH("Ph.D",D14)),
   IF(Data_count!G14="","",
      ROUND(
        ( MAX(0,10-QUOTIENT(MAX(0,Data_count!F14-720),7))
        + MAX(0,10-QUOTIENT(MAX(0,Data_count!G14-720),7)) )/2, 0)
   ),
   MAX(0,10-QUOTIENT(MAX(0,Data_count!F14-450),7))
))</f>
        <v>10</v>
      </c>
      <c r="J14">
        <f t="shared" si="0"/>
        <v>40</v>
      </c>
    </row>
    <row r="15" spans="1:10">
      <c r="A15" t="str">
        <f>IF(Data_input!A15="","",Data_input!A15)</f>
        <v>245YK</v>
      </c>
      <c r="B15" t="str">
        <f>IF(Data_input!B15="","",Data_input!B15)</f>
        <v>250PB252PD</v>
      </c>
      <c r="C15" t="str">
        <f>IF(Data_input!C15="","",Data_input!C15)</f>
        <v>KHAN FERDOUS</v>
      </c>
      <c r="D15" t="str">
        <f>IF(Data_input!L15="","",Data_input!L15)</f>
        <v>Ph.D. (Mgmt.)</v>
      </c>
      <c r="E15" t="str">
        <f>IF(Data_input!K15="","",Data_input!K15)</f>
        <v>Part-Time</v>
      </c>
      <c r="F15">
        <f>IF(Data_count!D15="","",
IF(ISNUMBER(SEARCH("Ph.D",D15)),
   IF(ISNUMBER(SEARCH("Full-Time",E15)),
      IF(Data_count!D15&lt;=270,10,IF(Data_count!D15&gt;=360,0,ROUND((360-Data_count!D15)/9,0))),
      IF(Data_count!D15&lt;=360,10,IF(Data_count!D15&gt;=450,0,ROUND((450-Data_count!D15)/9,0)))
   ),
   IF(ISNUMBER(SEARCH("Full-Time",E15)),
      IF(Data_count!D15&lt;=180,10,IF(Data_count!D15&gt;=270,0,ROUND((270-Data_count!D15)/9,0))),
      IF(Data_count!D15&lt;=270,10,IF(Data_count!D15&gt;=360,0,ROUND((360-Data_count!D15)/9,0)))
   )
))</f>
        <v>10</v>
      </c>
      <c r="G15">
        <f>IF(Data_count!E15="","",
IF(Data_count!E15&lt;=0,0,
MIN(10, INT(Data_count!E15/36)*2)))</f>
        <v>6</v>
      </c>
      <c r="H15">
        <f>IF(A15="","",IF(COUNTIF(PPM_Student!E15:'PPM_Student'!T15,"US")&gt;=3,0,10-COUNTIF(PPM_Student!E15:'PPM_Student'!T15,"US")))</f>
        <v>9</v>
      </c>
      <c r="I15">
        <f>IF(Data_count!F15="","",
IF(ISNUMBER(SEARCH("Ph.D",D15)),
   IF(Data_count!G15="","",
      ROUND(
        ( MAX(0,10-QUOTIENT(MAX(0,Data_count!F15-720),7))
        + MAX(0,10-QUOTIENT(MAX(0,Data_count!G15-720),7)) )/2, 0)
   ),
   MAX(0,10-QUOTIENT(MAX(0,Data_count!F15-450),7))
))</f>
        <v>10</v>
      </c>
      <c r="J15">
        <f t="shared" si="0"/>
        <v>35</v>
      </c>
    </row>
    <row r="16" spans="1:10">
      <c r="A16" t="str">
        <f>IF(Data_input!A16="","",Data_input!A16)</f>
        <v>245ZK</v>
      </c>
      <c r="B16" t="str">
        <f>IF(Data_input!B16="","",Data_input!B16)</f>
        <v>250PB244PD</v>
      </c>
      <c r="C16" t="str">
        <f>IF(Data_input!C16="","",Data_input!C16)</f>
        <v>PUARA A/P LACHMANAN</v>
      </c>
      <c r="D16" t="str">
        <f>IF(Data_input!L16="","",Data_input!L16)</f>
        <v>Ph.D. (Mgmt.)</v>
      </c>
      <c r="E16" t="str">
        <f>IF(Data_input!K16="","",Data_input!K16)</f>
        <v>Part-Time</v>
      </c>
      <c r="F16">
        <f>IF(Data_count!D16="","",
IF(ISNUMBER(SEARCH("Ph.D",D16)),
   IF(ISNUMBER(SEARCH("Full-Time",E16)),
      IF(Data_count!D16&lt;=270,10,IF(Data_count!D16&gt;=360,0,ROUND((360-Data_count!D16)/9,0))),
      IF(Data_count!D16&lt;=360,10,IF(Data_count!D16&gt;=450,0,ROUND((450-Data_count!D16)/9,0)))
   ),
   IF(ISNUMBER(SEARCH("Full-Time",E16)),
      IF(Data_count!D16&lt;=180,10,IF(Data_count!D16&gt;=270,0,ROUND((270-Data_count!D16)/9,0))),
      IF(Data_count!D16&lt;=270,10,IF(Data_count!D16&gt;=360,0,ROUND((360-Data_count!D16)/9,0)))
   )
))</f>
        <v>10</v>
      </c>
      <c r="G16">
        <f>IF(Data_count!E16="","",
IF(Data_count!E16&lt;=0,0,
MIN(10, INT(Data_count!E16/36)*2)))</f>
        <v>6</v>
      </c>
      <c r="H16">
        <f>IF(A16="","",IF(COUNTIF(PPM_Student!E16:'PPM_Student'!T16,"US")&gt;=3,0,10-COUNTIF(PPM_Student!E16:'PPM_Student'!T16,"US")))</f>
        <v>9</v>
      </c>
      <c r="I16">
        <f>IF(Data_count!F16="","",
IF(ISNUMBER(SEARCH("Ph.D",D16)),
   IF(Data_count!G16="","",
      ROUND(
        ( MAX(0,10-QUOTIENT(MAX(0,Data_count!F16-720),7))
        + MAX(0,10-QUOTIENT(MAX(0,Data_count!G16-720),7)) )/2, 0)
   ),
   MAX(0,10-QUOTIENT(MAX(0,Data_count!F16-450),7))
))</f>
        <v>10</v>
      </c>
      <c r="J16">
        <f t="shared" si="0"/>
        <v>35</v>
      </c>
    </row>
    <row r="17" spans="1:10">
      <c r="A17" t="str">
        <f>IF(Data_input!A17="","",Data_input!A17)</f>
        <v>245RK</v>
      </c>
      <c r="B17" t="str">
        <f>IF(Data_input!B17="","",Data_input!B17)</f>
        <v>250PB258PD</v>
      </c>
      <c r="C17" t="str">
        <f>IF(Data_input!C17="","",Data_input!C17)</f>
        <v>YONG YU KIN</v>
      </c>
      <c r="D17" t="str">
        <f>IF(Data_input!L17="","",Data_input!L17)</f>
        <v>Ph.D. (Mgmt.)</v>
      </c>
      <c r="E17" t="str">
        <f>IF(Data_input!K17="","",Data_input!K17)</f>
        <v>Part-Time</v>
      </c>
      <c r="F17">
        <f>IF(Data_count!D17="","",
IF(ISNUMBER(SEARCH("Ph.D",D17)),
   IF(ISNUMBER(SEARCH("Full-Time",E17)),
      IF(Data_count!D17&lt;=270,10,IF(Data_count!D17&gt;=360,0,ROUND((360-Data_count!D17)/9,0))),
      IF(Data_count!D17&lt;=360,10,IF(Data_count!D17&gt;=450,0,ROUND((450-Data_count!D17)/9,0)))
   ),
   IF(ISNUMBER(SEARCH("Full-Time",E17)),
      IF(Data_count!D17&lt;=180,10,IF(Data_count!D17&gt;=270,0,ROUND((270-Data_count!D17)/9,0))),
      IF(Data_count!D17&lt;=270,10,IF(Data_count!D17&gt;=360,0,ROUND((360-Data_count!D17)/9,0)))
   )
))</f>
        <v>10</v>
      </c>
      <c r="G17">
        <f>IF(Data_count!E17="","",
IF(Data_count!E17&lt;=0,0,
MIN(10, INT(Data_count!E17/36)*2)))</f>
        <v>6</v>
      </c>
      <c r="H17">
        <f>IF(A17="","",IF(COUNTIF(PPM_Student!E17:'PPM_Student'!T17,"US")&gt;=3,0,10-COUNTIF(PPM_Student!E17:'PPM_Student'!T17,"US")))</f>
        <v>8</v>
      </c>
      <c r="I17">
        <f>IF(Data_count!F17="","",
IF(ISNUMBER(SEARCH("Ph.D",D17)),
   IF(Data_count!G17="","",
      ROUND(
        ( MAX(0,10-QUOTIENT(MAX(0,Data_count!F17-720),7))
        + MAX(0,10-QUOTIENT(MAX(0,Data_count!G17-720),7)) )/2, 0)
   ),
   MAX(0,10-QUOTIENT(MAX(0,Data_count!F17-450),7))
))</f>
        <v>10</v>
      </c>
      <c r="J17">
        <f t="shared" si="0"/>
        <v>34</v>
      </c>
    </row>
    <row r="18" spans="1:10">
      <c r="A18" t="str">
        <f>IF(Data_input!A18="","",Data_input!A18)</f>
        <v>247R7</v>
      </c>
      <c r="B18" t="str">
        <f>IF(Data_input!B18="","",Data_input!B18)</f>
        <v>250PB259PD</v>
      </c>
      <c r="C18" t="str">
        <f>IF(Data_input!C18="","",Data_input!C18)</f>
        <v>WONG KIN HUAT</v>
      </c>
      <c r="D18" t="str">
        <f>IF(Data_input!L18="","",Data_input!L18)</f>
        <v>Ph.D. (Mgmt.)</v>
      </c>
      <c r="E18" t="str">
        <f>IF(Data_input!K18="","",Data_input!K18)</f>
        <v>Part-Time</v>
      </c>
      <c r="F18">
        <f>IF(Data_count!D18="","",
IF(ISNUMBER(SEARCH("Ph.D",D18)),
   IF(ISNUMBER(SEARCH("Full-Time",E18)),
      IF(Data_count!D18&lt;=270,10,IF(Data_count!D18&gt;=360,0,ROUND((360-Data_count!D18)/9,0))),
      IF(Data_count!D18&lt;=360,10,IF(Data_count!D18&gt;=450,0,ROUND((450-Data_count!D18)/9,0)))
   ),
   IF(ISNUMBER(SEARCH("Full-Time",E18)),
      IF(Data_count!D18&lt;=180,10,IF(Data_count!D18&gt;=270,0,ROUND((270-Data_count!D18)/9,0))),
      IF(Data_count!D18&lt;=270,10,IF(Data_count!D18&gt;=360,0,ROUND((360-Data_count!D18)/9,0)))
   )
))</f>
        <v>10</v>
      </c>
      <c r="G18">
        <f>IF(Data_count!E18="","",
IF(Data_count!E18&lt;=0,0,
MIN(10, INT(Data_count!E18/36)*2)))</f>
        <v>0</v>
      </c>
      <c r="H18">
        <f>IF(A18="","",IF(COUNTIF(PPM_Student!E18:'PPM_Student'!T18,"US")&gt;=3,0,10-COUNTIF(PPM_Student!E18:'PPM_Student'!T18,"US")))</f>
        <v>10</v>
      </c>
      <c r="I18">
        <f>IF(Data_count!F18="","",
IF(ISNUMBER(SEARCH("Ph.D",D18)),
   IF(Data_count!G18="","",
      ROUND(
        ( MAX(0,10-QUOTIENT(MAX(0,Data_count!F18-720),7))
        + MAX(0,10-QUOTIENT(MAX(0,Data_count!G18-720),7)) )/2, 0)
   ),
   MAX(0,10-QUOTIENT(MAX(0,Data_count!F18-450),7))
))</f>
        <v>0</v>
      </c>
      <c r="J18">
        <f t="shared" si="0"/>
        <v>20</v>
      </c>
    </row>
    <row r="19" spans="1:10">
      <c r="A19" t="str">
        <f>IF(Data_input!A19="","",Data_input!A19)</f>
        <v>247R8</v>
      </c>
      <c r="B19" t="str">
        <f>IF(Data_input!B19="","",Data_input!B19)</f>
        <v>250PB260PD</v>
      </c>
      <c r="C19" t="str">
        <f>IF(Data_input!C19="","",Data_input!C19)</f>
        <v>WONG KANG JUN</v>
      </c>
      <c r="D19" t="str">
        <f>IF(Data_input!L19="","",Data_input!L19)</f>
        <v>Ph.D. (Mgmt.)</v>
      </c>
      <c r="E19" t="str">
        <f>IF(Data_input!K19="","",Data_input!K19)</f>
        <v>Part-Time</v>
      </c>
      <c r="F19">
        <f>IF(Data_count!D19="","",
IF(ISNUMBER(SEARCH("Ph.D",D19)),
   IF(ISNUMBER(SEARCH("Full-Time",E19)),
      IF(Data_count!D19&lt;=270,10,IF(Data_count!D19&gt;=360,0,ROUND((360-Data_count!D19)/9,0))),
      IF(Data_count!D19&lt;=360,10,IF(Data_count!D19&gt;=450,0,ROUND((450-Data_count!D19)/9,0)))
   ),
   IF(ISNUMBER(SEARCH("Full-Time",E19)),
      IF(Data_count!D19&lt;=180,10,IF(Data_count!D19&gt;=270,0,ROUND((270-Data_count!D19)/9,0))),
      IF(Data_count!D19&lt;=270,10,IF(Data_count!D19&gt;=360,0,ROUND((360-Data_count!D19)/9,0)))
   )
))</f>
        <v>10</v>
      </c>
      <c r="G19">
        <f>IF(Data_count!E19="","",
IF(Data_count!E19&lt;=0,0,
MIN(10, INT(Data_count!E19/36)*2)))</f>
        <v>0</v>
      </c>
      <c r="H19">
        <f>IF(A19="","",IF(COUNTIF(PPM_Student!E19:'PPM_Student'!T19,"US")&gt;=3,0,10-COUNTIF(PPM_Student!E19:'PPM_Student'!T19,"US")))</f>
        <v>0</v>
      </c>
      <c r="I19">
        <f>IF(Data_count!F19="","",
IF(ISNUMBER(SEARCH("Ph.D",D19)),
   IF(Data_count!G19="","",
      ROUND(
        ( MAX(0,10-QUOTIENT(MAX(0,Data_count!F19-720),7))
        + MAX(0,10-QUOTIENT(MAX(0,Data_count!G19-720),7)) )/2, 0)
   ),
   MAX(0,10-QUOTIENT(MAX(0,Data_count!F19-450),7))
))</f>
        <v>0</v>
      </c>
      <c r="J19">
        <f t="shared" si="0"/>
        <v>10</v>
      </c>
    </row>
    <row r="20" spans="1:10">
      <c r="A20" t="str">
        <f>IF(Data_input!A20="","",Data_input!A20)</f>
        <v>247R9</v>
      </c>
      <c r="B20" t="str">
        <f>IF(Data_input!B20="","",Data_input!B20)</f>
        <v>250PA213RK</v>
      </c>
      <c r="C20" t="str">
        <f>IF(Data_input!C20="","",Data_input!C20)</f>
        <v xml:space="preserve">AHMAD FAISAL BIN YUSOF  </v>
      </c>
      <c r="D20" t="str">
        <f>IF(Data_input!L20="","",Data_input!L20)</f>
        <v>Ph.D. (Mgmt.)</v>
      </c>
      <c r="E20" t="str">
        <f>IF(Data_input!K20="","",Data_input!K20)</f>
        <v>Part-Time</v>
      </c>
      <c r="F20">
        <f>IF(Data_count!D20="","",
IF(ISNUMBER(SEARCH("Ph.D",D20)),
   IF(ISNUMBER(SEARCH("Full-Time",E20)),
      IF(Data_count!D20&lt;=270,10,IF(Data_count!D20&gt;=360,0,ROUND((360-Data_count!D20)/9,0))),
      IF(Data_count!D20&lt;=360,10,IF(Data_count!D20&gt;=450,0,ROUND((450-Data_count!D20)/9,0)))
   ),
   IF(ISNUMBER(SEARCH("Full-Time",E20)),
      IF(Data_count!D20&lt;=180,10,IF(Data_count!D20&gt;=270,0,ROUND((270-Data_count!D20)/9,0))),
      IF(Data_count!D20&lt;=270,10,IF(Data_count!D20&gt;=360,0,ROUND((360-Data_count!D20)/9,0)))
   )
))</f>
        <v>0</v>
      </c>
      <c r="G20">
        <f>IF(Data_count!E20="","",
IF(Data_count!E20&lt;=0,0,
MIN(10, INT(Data_count!E20/36)*2)))</f>
        <v>0</v>
      </c>
      <c r="H20">
        <f>IF(A20="","",IF(COUNTIF(PPM_Student!E20:'PPM_Student'!T20,"US")&gt;=3,0,10-COUNTIF(PPM_Student!E20:'PPM_Student'!T20,"US")))</f>
        <v>0</v>
      </c>
      <c r="I20">
        <f>IF(Data_count!F20="","",
IF(ISNUMBER(SEARCH("Ph.D",D20)),
   IF(Data_count!G20="","",
      ROUND(
        ( MAX(0,10-QUOTIENT(MAX(0,Data_count!F20-720),7))
        + MAX(0,10-QUOTIENT(MAX(0,Data_count!G20-720),7)) )/2, 0)
   ),
   MAX(0,10-QUOTIENT(MAX(0,Data_count!F20-450),7))
))</f>
        <v>0</v>
      </c>
      <c r="J20">
        <f t="shared" si="0"/>
        <v>0</v>
      </c>
    </row>
    <row r="21" spans="1:10">
      <c r="A21" t="str">
        <f>IF(Data_input!A21="","",Data_input!A21)</f>
        <v>243A9</v>
      </c>
      <c r="B21" t="str">
        <f>IF(Data_input!B21="","",Data_input!B21)</f>
        <v>250PK245T1</v>
      </c>
      <c r="C21" t="str">
        <f>IF(Data_input!C21="","",Data_input!C21)</f>
        <v>HANG JIA YEE</v>
      </c>
      <c r="D21" t="str">
        <f>IF(Data_input!L21="","",Data_input!L21)</f>
        <v>Master (Mgmt)</v>
      </c>
      <c r="E21" t="str">
        <f>IF(Data_input!K21="","",Data_input!K21)</f>
        <v>Full-Time</v>
      </c>
      <c r="F21">
        <f>IF(Data_count!D21="","",
IF(ISNUMBER(SEARCH("Ph.D",D21)),
   IF(ISNUMBER(SEARCH("Full-Time",E21)),
      IF(Data_count!D21&lt;=270,10,IF(Data_count!D21&gt;=360,0,ROUND((360-Data_count!D21)/9,0))),
      IF(Data_count!D21&lt;=360,10,IF(Data_count!D21&gt;=450,0,ROUND((450-Data_count!D21)/9,0)))
   ),
   IF(ISNUMBER(SEARCH("Full-Time",E21)),
      IF(Data_count!D21&lt;=180,10,IF(Data_count!D21&gt;=270,0,ROUND((270-Data_count!D21)/9,0))),
      IF(Data_count!D21&lt;=270,10,IF(Data_count!D21&gt;=360,0,ROUND((360-Data_count!D21)/9,0)))
   )
))</f>
        <v>10</v>
      </c>
      <c r="G21">
        <f>IF(Data_count!E21="","",
IF(Data_count!E21&lt;=0,0,
MIN(10, INT(Data_count!E21/36)*2)))</f>
        <v>10</v>
      </c>
      <c r="H21">
        <f>IF(A21="","",IF(COUNTIF(PPM_Student!E21:'PPM_Student'!T21,"US")&gt;=3,0,10-COUNTIF(PPM_Student!E21:'PPM_Student'!T21,"US")))</f>
        <v>0</v>
      </c>
      <c r="I21">
        <f>IF(Data_count!F21="","",
IF(ISNUMBER(SEARCH("Ph.D",D21)),
   IF(Data_count!G21="","",
      ROUND(
        ( MAX(0,10-QUOTIENT(MAX(0,Data_count!F21-720),7))
        + MAX(0,10-QUOTIENT(MAX(0,Data_count!G21-720),7)) )/2, 0)
   ),
   MAX(0,10-QUOTIENT(MAX(0,Data_count!F21-450),7))
))</f>
        <v>10</v>
      </c>
      <c r="J21">
        <f t="shared" si="0"/>
        <v>30</v>
      </c>
    </row>
    <row r="22" spans="1:10">
      <c r="A22" t="str">
        <f>IF(Data_input!A22="","",Data_input!A22)</f>
        <v>248RK</v>
      </c>
      <c r="B22" t="str">
        <f>IF(Data_input!B22="","",Data_input!B22)</f>
        <v>250PH272RM</v>
      </c>
      <c r="C22" t="str">
        <f>IF(Data_input!C22="","",Data_input!C22)</f>
        <v xml:space="preserve">LEE KOK MING  </v>
      </c>
      <c r="D22" t="str">
        <f>IF(Data_input!L22="","",Data_input!L22)</f>
        <v>Master (Mgmt)</v>
      </c>
      <c r="E22" t="str">
        <f>IF(Data_input!K22="","",Data_input!K22)</f>
        <v>Full-Time</v>
      </c>
      <c r="F22">
        <f>IF(Data_count!D22="","",
IF(ISNUMBER(SEARCH("Ph.D",D22)),
   IF(ISNUMBER(SEARCH("Full-Time",E22)),
      IF(Data_count!D22&lt;=270,10,IF(Data_count!D22&gt;=360,0,ROUND((360-Data_count!D22)/9,0))),
      IF(Data_count!D22&lt;=360,10,IF(Data_count!D22&gt;=450,0,ROUND((450-Data_count!D22)/9,0)))
   ),
   IF(ISNUMBER(SEARCH("Full-Time",E22)),
      IF(Data_count!D22&lt;=180,10,IF(Data_count!D22&gt;=270,0,ROUND((270-Data_count!D22)/9,0))),
      IF(Data_count!D22&lt;=270,10,IF(Data_count!D22&gt;=360,0,ROUND((360-Data_count!D22)/9,0)))
   )
))</f>
        <v>10</v>
      </c>
      <c r="G22">
        <f>IF(Data_count!E22="","",
IF(Data_count!E22&lt;=0,0,
MIN(10, INT(Data_count!E22/36)*2)))</f>
        <v>10</v>
      </c>
      <c r="H22">
        <f>IF(A22="","",IF(COUNTIF(PPM_Student!E22:'PPM_Student'!T22,"US")&gt;=3,0,10-COUNTIF(PPM_Student!E22:'PPM_Student'!T22,"US")))</f>
        <v>10</v>
      </c>
      <c r="I22">
        <f>IF(Data_count!F22="","",
IF(ISNUMBER(SEARCH("Ph.D",D22)),
   IF(Data_count!G22="","",
      ROUND(
        ( MAX(0,10-QUOTIENT(MAX(0,Data_count!F22-720),7))
        + MAX(0,10-QUOTIENT(MAX(0,Data_count!G22-720),7)) )/2, 0)
   ),
   MAX(0,10-QUOTIENT(MAX(0,Data_count!F22-450),7))
))</f>
        <v>10</v>
      </c>
      <c r="J22">
        <f t="shared" si="0"/>
        <v>40</v>
      </c>
    </row>
    <row r="23" spans="1:10">
      <c r="A23" t="str">
        <f>IF(Data_input!A23="","",Data_input!A23)</f>
        <v>249YH</v>
      </c>
      <c r="B23" t="str">
        <f>IF(Data_input!B23="","",Data_input!B23)</f>
        <v>250PN281Q2</v>
      </c>
      <c r="C23" t="str">
        <f>IF(Data_input!C23="","",Data_input!C23)</f>
        <v>SITI NUR AIN BINTI RAHMAN</v>
      </c>
      <c r="D23" t="str">
        <f>IF(Data_input!L23="","",Data_input!L23)</f>
        <v>Master (Mgmt)</v>
      </c>
      <c r="E23" t="str">
        <f>IF(Data_input!K23="","",Data_input!K23)</f>
        <v>Full-Time</v>
      </c>
      <c r="F23">
        <f>IF(Data_count!D23="","",
IF(ISNUMBER(SEARCH("Ph.D",D23)),
   IF(ISNUMBER(SEARCH("Full-Time",E23)),
      IF(Data_count!D23&lt;=270,10,IF(Data_count!D23&gt;=360,0,ROUND((360-Data_count!D23)/9,0))),
      IF(Data_count!D23&lt;=360,10,IF(Data_count!D23&gt;=450,0,ROUND((450-Data_count!D23)/9,0)))
   ),
   IF(ISNUMBER(SEARCH("Full-Time",E23)),
      IF(Data_count!D23&lt;=180,10,IF(Data_count!D23&gt;=270,0,ROUND((270-Data_count!D23)/9,0))),
      IF(Data_count!D23&lt;=270,10,IF(Data_count!D23&gt;=360,0,ROUND((360-Data_count!D23)/9,0)))
   )
))</f>
        <v>10</v>
      </c>
      <c r="G23">
        <f>IF(Data_count!E23="","",
IF(Data_count!E23&lt;=0,0,
MIN(10, INT(Data_count!E23/36)*2)))</f>
        <v>10</v>
      </c>
      <c r="H23">
        <f>IF(A23="","",IF(COUNTIF(PPM_Student!E23:'PPM_Student'!T23,"US")&gt;=3,0,10-COUNTIF(PPM_Student!E23:'PPM_Student'!T23,"US")))</f>
        <v>10</v>
      </c>
      <c r="I23">
        <f>IF(Data_count!F23="","",
IF(ISNUMBER(SEARCH("Ph.D",D23)),
   IF(Data_count!G23="","",
      ROUND(
        ( MAX(0,10-QUOTIENT(MAX(0,Data_count!F23-720),7))
        + MAX(0,10-QUOTIENT(MAX(0,Data_count!G23-720),7)) )/2, 0)
   ),
   MAX(0,10-QUOTIENT(MAX(0,Data_count!F23-450),7))
))</f>
        <v>10</v>
      </c>
      <c r="J23">
        <f t="shared" si="0"/>
        <v>40</v>
      </c>
    </row>
    <row r="24" spans="1:10">
      <c r="A24" t="str">
        <f>IF(Data_input!A24="","",Data_input!A24)</f>
        <v>2468Z</v>
      </c>
      <c r="B24" t="str">
        <f>IF(Data_input!B24="","",Data_input!B24)</f>
        <v>250PM269QD</v>
      </c>
      <c r="C24" t="str">
        <f>IF(Data_input!C24="","",Data_input!C24)</f>
        <v xml:space="preserve">RAHUL KUMAR SINGH  </v>
      </c>
      <c r="D24" t="str">
        <f>IF(Data_input!L24="","",Data_input!L24)</f>
        <v>Master (Mgmt)</v>
      </c>
      <c r="E24" t="str">
        <f>IF(Data_input!K24="","",Data_input!K24)</f>
        <v>Full-Time</v>
      </c>
      <c r="F24">
        <f>IF(Data_count!D24="","",
IF(ISNUMBER(SEARCH("Ph.D",D24)),
   IF(ISNUMBER(SEARCH("Full-Time",E24)),
      IF(Data_count!D24&lt;=270,10,IF(Data_count!D24&gt;=360,0,ROUND((360-Data_count!D24)/9,0))),
      IF(Data_count!D24&lt;=360,10,IF(Data_count!D24&gt;=450,0,ROUND((450-Data_count!D24)/9,0)))
   ),
   IF(ISNUMBER(SEARCH("Full-Time",E24)),
      IF(Data_count!D24&lt;=180,10,IF(Data_count!D24&gt;=270,0,ROUND((270-Data_count!D24)/9,0))),
      IF(Data_count!D24&lt;=270,10,IF(Data_count!D24&gt;=360,0,ROUND((360-Data_count!D24)/9,0)))
   )
))</f>
        <v>7</v>
      </c>
      <c r="G24">
        <f>IF(Data_count!E24="","",
IF(Data_count!E24&lt;=0,0,
MIN(10, INT(Data_count!E24/36)*2)))</f>
        <v>6</v>
      </c>
      <c r="H24">
        <f>IF(A24="","",IF(COUNTIF(PPM_Student!E24:'PPM_Student'!T24,"US")&gt;=3,0,10-COUNTIF(PPM_Student!E24:'PPM_Student'!T24,"US")))</f>
        <v>10</v>
      </c>
      <c r="I24">
        <f>IF(Data_count!F24="","",
IF(ISNUMBER(SEARCH("Ph.D",D24)),
   IF(Data_count!G24="","",
      ROUND(
        ( MAX(0,10-QUOTIENT(MAX(0,Data_count!F24-720),7))
        + MAX(0,10-QUOTIENT(MAX(0,Data_count!G24-720),7)) )/2, 0)
   ),
   MAX(0,10-QUOTIENT(MAX(0,Data_count!F24-450),7))
))</f>
        <v>10</v>
      </c>
      <c r="J24">
        <f t="shared" si="0"/>
        <v>33</v>
      </c>
    </row>
    <row r="25" spans="1:10">
      <c r="A25" t="str">
        <f>IF(Data_input!A25="","",Data_input!A25)</f>
        <v>247JK</v>
      </c>
      <c r="B25" t="str">
        <f>IF(Data_input!B25="","",Data_input!B25)</f>
        <v>250PJ258RD</v>
      </c>
      <c r="C25" t="str">
        <f>IF(Data_input!C25="","",Data_input!C25)</f>
        <v xml:space="preserve">CHAN WEI HONG  </v>
      </c>
      <c r="D25" t="str">
        <f>IF(Data_input!L25="","",Data_input!L25)</f>
        <v>Master (Law)</v>
      </c>
      <c r="E25" t="str">
        <f>IF(Data_input!K25="","",Data_input!K25)</f>
        <v>Full-Time</v>
      </c>
      <c r="F25">
        <f>IF(Data_count!D25="","",
IF(ISNUMBER(SEARCH("Ph.D",D25)),
   IF(ISNUMBER(SEARCH("Full-Time",E25)),
      IF(Data_count!D25&lt;=270,10,IF(Data_count!D25&gt;=360,0,ROUND((360-Data_count!D25)/9,0))),
      IF(Data_count!D25&lt;=360,10,IF(Data_count!D25&gt;=450,0,ROUND((450-Data_count!D25)/9,0)))
   ),
   IF(ISNUMBER(SEARCH("Full-Time",E25)),
      IF(Data_count!D25&lt;=180,10,IF(Data_count!D25&gt;=270,0,ROUND((270-Data_count!D25)/9,0))),
      IF(Data_count!D25&lt;=270,10,IF(Data_count!D25&gt;=360,0,ROUND((360-Data_count!D25)/9,0)))
   )
))</f>
        <v>10</v>
      </c>
      <c r="G25">
        <f>IF(Data_count!E25="","",
IF(Data_count!E25&lt;=0,0,
MIN(10, INT(Data_count!E25/36)*2)))</f>
        <v>4</v>
      </c>
      <c r="H25">
        <f>IF(A25="","",IF(COUNTIF(PPM_Student!E25:'PPM_Student'!T25,"US")&gt;=3,0,10-COUNTIF(PPM_Student!E25:'PPM_Student'!T25,"US")))</f>
        <v>8</v>
      </c>
      <c r="I25">
        <f>IF(Data_count!F25="","",
IF(ISNUMBER(SEARCH("Ph.D",D25)),
   IF(Data_count!G25="","",
      ROUND(
        ( MAX(0,10-QUOTIENT(MAX(0,Data_count!F25-720),7))
        + MAX(0,10-QUOTIENT(MAX(0,Data_count!G25-720),7)) )/2, 0)
   ),
   MAX(0,10-QUOTIENT(MAX(0,Data_count!F25-450),7))
))</f>
        <v>10</v>
      </c>
      <c r="J25">
        <f t="shared" si="0"/>
        <v>32</v>
      </c>
    </row>
    <row r="26" spans="1:10">
      <c r="A26" t="str">
        <f>IF(Data_input!A26="","",Data_input!A26)</f>
        <v>245PL</v>
      </c>
      <c r="B26" t="str">
        <f>IF(Data_input!B26="","",Data_input!B26)</f>
        <v>250PL293T1</v>
      </c>
      <c r="C26" t="str">
        <f>IF(Data_input!C26="","",Data_input!C26)</f>
        <v xml:space="preserve">NURUL HUDA BINTI AZIZ  </v>
      </c>
      <c r="D26" t="str">
        <f>IF(Data_input!L26="","",Data_input!L26)</f>
        <v>Master (Law)</v>
      </c>
      <c r="E26" t="str">
        <f>IF(Data_input!K26="","",Data_input!K26)</f>
        <v>Full-Time</v>
      </c>
      <c r="F26">
        <f>IF(Data_count!D26="","",
IF(ISNUMBER(SEARCH("Ph.D",D26)),
   IF(ISNUMBER(SEARCH("Full-Time",E26)),
      IF(Data_count!D26&lt;=270,10,IF(Data_count!D26&gt;=360,0,ROUND((360-Data_count!D26)/9,0))),
      IF(Data_count!D26&lt;=360,10,IF(Data_count!D26&gt;=450,0,ROUND((450-Data_count!D26)/9,0)))
   ),
   IF(ISNUMBER(SEARCH("Full-Time",E26)),
      IF(Data_count!D26&lt;=180,10,IF(Data_count!D26&gt;=270,0,ROUND((270-Data_count!D26)/9,0))),
      IF(Data_count!D26&lt;=270,10,IF(Data_count!D26&gt;=360,0,ROUND((360-Data_count!D26)/9,0)))
   )
))</f>
        <v>4</v>
      </c>
      <c r="G26">
        <f>IF(Data_count!E26="","",
IF(Data_count!E26&lt;=0,0,
MIN(10, INT(Data_count!E26/36)*2)))</f>
        <v>2</v>
      </c>
      <c r="H26">
        <f>IF(A26="","",IF(COUNTIF(PPM_Student!E26:'PPM_Student'!T26,"US")&gt;=3,0,10-COUNTIF(PPM_Student!E26:'PPM_Student'!T26,"US")))</f>
        <v>8</v>
      </c>
      <c r="I26">
        <f>IF(Data_count!F26="","",
IF(ISNUMBER(SEARCH("Ph.D",D26)),
   IF(Data_count!G26="","",
      ROUND(
        ( MAX(0,10-QUOTIENT(MAX(0,Data_count!F26-720),7))
        + MAX(0,10-QUOTIENT(MAX(0,Data_count!G26-720),7)) )/2, 0)
   ),
   MAX(0,10-QUOTIENT(MAX(0,Data_count!F26-450),7))
))</f>
        <v>10</v>
      </c>
      <c r="J26">
        <f t="shared" si="0"/>
        <v>24</v>
      </c>
    </row>
    <row r="27" spans="1:10">
      <c r="A27" t="str">
        <f>IF(Data_input!A27="","",Data_input!A27)</f>
        <v>244XM</v>
      </c>
      <c r="B27" t="str">
        <f>IF(Data_input!B27="","",Data_input!B27)</f>
        <v>250PR241PD</v>
      </c>
      <c r="C27" t="str">
        <f>IF(Data_input!C27="","",Data_input!C27)</f>
        <v xml:space="preserve">MOHAMMAD ALI KHAN </v>
      </c>
      <c r="D27" t="str">
        <f>IF(Data_input!L27="","",Data_input!L27)</f>
        <v>Master (Law)</v>
      </c>
      <c r="E27" t="str">
        <f>IF(Data_input!K27="","",Data_input!K27)</f>
        <v>Full-Time</v>
      </c>
      <c r="F27">
        <f>IF(Data_count!D27="","",
IF(ISNUMBER(SEARCH("Ph.D",D27)),
   IF(ISNUMBER(SEARCH("Full-Time",E27)),
      IF(Data_count!D27&lt;=270,10,IF(Data_count!D27&gt;=360,0,ROUND((360-Data_count!D27)/9,0))),
      IF(Data_count!D27&lt;=360,10,IF(Data_count!D27&gt;=450,0,ROUND((450-Data_count!D27)/9,0)))
   ),
   IF(ISNUMBER(SEARCH("Full-Time",E27)),
      IF(Data_count!D27&lt;=180,10,IF(Data_count!D27&gt;=270,0,ROUND((270-Data_count!D27)/9,0))),
      IF(Data_count!D27&lt;=270,10,IF(Data_count!D27&gt;=360,0,ROUND((360-Data_count!D27)/9,0)))
   )
))</f>
        <v>0</v>
      </c>
      <c r="G27">
        <f>IF(Data_count!E27="","",
IF(Data_count!E27&lt;=0,0,
MIN(10, INT(Data_count!E27/36)*2)))</f>
        <v>0</v>
      </c>
      <c r="H27">
        <f>IF(A27="","",IF(COUNTIF(PPM_Student!E27:'PPM_Student'!T27,"US")&gt;=3,0,10-COUNTIF(PPM_Student!E27:'PPM_Student'!T27,"US")))</f>
        <v>9</v>
      </c>
      <c r="I27">
        <f>IF(Data_count!F27="","",
IF(ISNUMBER(SEARCH("Ph.D",D27)),
   IF(Data_count!G27="","",
      ROUND(
        ( MAX(0,10-QUOTIENT(MAX(0,Data_count!F27-720),7))
        + MAX(0,10-QUOTIENT(MAX(0,Data_count!G27-720),7)) )/2, 0)
   ),
   MAX(0,10-QUOTIENT(MAX(0,Data_count!F27-450),7))
))</f>
        <v>8</v>
      </c>
      <c r="J27">
        <f t="shared" si="0"/>
        <v>17</v>
      </c>
    </row>
    <row r="28" spans="1:10">
      <c r="A28" t="str">
        <f>IF(Data_input!A28="","",Data_input!A28)</f>
        <v>2495N</v>
      </c>
      <c r="B28" t="str">
        <f>IF(Data_input!B28="","",Data_input!B28)</f>
        <v>250PB237QK</v>
      </c>
      <c r="C28" t="str">
        <f>IF(Data_input!C28="","",Data_input!C28)</f>
        <v xml:space="preserve">TAN JIA WEI  </v>
      </c>
      <c r="D28" t="str">
        <f>IF(Data_input!L28="","",Data_input!L28)</f>
        <v>Master (Law)</v>
      </c>
      <c r="E28" t="str">
        <f>IF(Data_input!K28="","",Data_input!K28)</f>
        <v>Full-Time</v>
      </c>
      <c r="F28">
        <f>IF(Data_count!D28="","",
IF(ISNUMBER(SEARCH("Ph.D",D28)),
   IF(ISNUMBER(SEARCH("Full-Time",E28)),
      IF(Data_count!D28&lt;=270,10,IF(Data_count!D28&gt;=360,0,ROUND((360-Data_count!D28)/9,0))),
      IF(Data_count!D28&lt;=360,10,IF(Data_count!D28&gt;=450,0,ROUND((450-Data_count!D28)/9,0)))
   ),
   IF(ISNUMBER(SEARCH("Full-Time",E28)),
      IF(Data_count!D28&lt;=180,10,IF(Data_count!D28&gt;=270,0,ROUND((270-Data_count!D28)/9,0))),
      IF(Data_count!D28&lt;=270,10,IF(Data_count!D28&gt;=360,0,ROUND((360-Data_count!D28)/9,0)))
   )
))</f>
        <v>0</v>
      </c>
      <c r="G28">
        <f>IF(Data_count!E28="","",
IF(Data_count!E28&lt;=0,0,
MIN(10, INT(Data_count!E28/36)*2)))</f>
        <v>0</v>
      </c>
      <c r="H28">
        <f>IF(A28="","",IF(COUNTIF(PPM_Student!E28:'PPM_Student'!T28,"US")&gt;=3,0,10-COUNTIF(PPM_Student!E28:'PPM_Student'!T28,"US")))</f>
        <v>0</v>
      </c>
      <c r="I28">
        <f>IF(Data_count!F28="","",
IF(ISNUMBER(SEARCH("Ph.D",D28)),
   IF(Data_count!G28="","",
      ROUND(
        ( MAX(0,10-QUOTIENT(MAX(0,Data_count!F28-720),7))
        + MAX(0,10-QUOTIENT(MAX(0,Data_count!G28-720),7)) )/2, 0)
   ),
   MAX(0,10-QUOTIENT(MAX(0,Data_count!F28-450),7))
))</f>
        <v>8</v>
      </c>
      <c r="J28">
        <f t="shared" si="0"/>
        <v>8</v>
      </c>
    </row>
    <row r="29" spans="1:10">
      <c r="A29" t="str">
        <f>IF(Data_input!A29="","",Data_input!A29)</f>
        <v>246ZP</v>
      </c>
      <c r="B29" t="str">
        <f>IF(Data_input!B29="","",Data_input!B29)</f>
        <v>250PC276R2</v>
      </c>
      <c r="C29" t="str">
        <f>IF(Data_input!C29="","",Data_input!C29)</f>
        <v xml:space="preserve">FARHAN BIN ISMAIL  </v>
      </c>
      <c r="D29" t="str">
        <f>IF(Data_input!L29="","",Data_input!L29)</f>
        <v>Master (Law)</v>
      </c>
      <c r="E29" t="str">
        <f>IF(Data_input!K29="","",Data_input!K29)</f>
        <v>Full-Time</v>
      </c>
      <c r="F29">
        <f>IF(Data_count!D29="","",
IF(ISNUMBER(SEARCH("Ph.D",D29)),
   IF(ISNUMBER(SEARCH("Full-Time",E29)),
      IF(Data_count!D29&lt;=270,10,IF(Data_count!D29&gt;=360,0,ROUND((360-Data_count!D29)/9,0))),
      IF(Data_count!D29&lt;=360,10,IF(Data_count!D29&gt;=450,0,ROUND((450-Data_count!D29)/9,0)))
   ),
   IF(ISNUMBER(SEARCH("Full-Time",E29)),
      IF(Data_count!D29&lt;=180,10,IF(Data_count!D29&gt;=270,0,ROUND((270-Data_count!D29)/9,0))),
      IF(Data_count!D29&lt;=270,10,IF(Data_count!D29&gt;=360,0,ROUND((360-Data_count!D29)/9,0)))
   )
))</f>
        <v>0</v>
      </c>
      <c r="G29">
        <f>IF(Data_count!E29="","",
IF(Data_count!E29&lt;=0,0,
MIN(10, INT(Data_count!E29/36)*2)))</f>
        <v>0</v>
      </c>
      <c r="H29">
        <f>IF(A29="","",IF(COUNTIF(PPM_Student!E29:'PPM_Student'!T29,"US")&gt;=3,0,10-COUNTIF(PPM_Student!E29:'PPM_Student'!T29,"US")))</f>
        <v>0</v>
      </c>
      <c r="I29">
        <f>IF(Data_count!F29="","",
IF(ISNUMBER(SEARCH("Ph.D",D29)),
   IF(Data_count!G29="","",
      ROUND(
        ( MAX(0,10-QUOTIENT(MAX(0,Data_count!F29-720),7))
        + MAX(0,10-QUOTIENT(MAX(0,Data_count!G29-720),7)) )/2, 0)
   ),
   MAX(0,10-QUOTIENT(MAX(0,Data_count!F29-450),7))
))</f>
        <v>8</v>
      </c>
      <c r="J29">
        <f t="shared" si="0"/>
        <v>8</v>
      </c>
    </row>
    <row r="30" spans="1:10">
      <c r="A30" t="str">
        <f>IF(Data_input!A30="","",Data_input!A30)</f>
        <v>247QR</v>
      </c>
      <c r="B30" t="str">
        <f>IF(Data_input!B30="","",Data_input!B30)</f>
        <v>250PE261RJ</v>
      </c>
      <c r="C30" t="str">
        <f>IF(Data_input!C30="","",Data_input!C30)</f>
        <v>LIM PEI YEE</v>
      </c>
      <c r="D30" t="str">
        <f>IF(Data_input!L30="","",Data_input!L30)</f>
        <v>Master (Mgmt)</v>
      </c>
      <c r="E30" t="str">
        <f>IF(Data_input!K30="","",Data_input!K30)</f>
        <v>Full-Time</v>
      </c>
      <c r="F30">
        <f>IF(Data_count!D30="","",
IF(ISNUMBER(SEARCH("Ph.D",D30)),
   IF(ISNUMBER(SEARCH("Full-Time",E30)),
      IF(Data_count!D30&lt;=270,10,IF(Data_count!D30&gt;=360,0,ROUND((360-Data_count!D30)/9,0))),
      IF(Data_count!D30&lt;=360,10,IF(Data_count!D30&gt;=450,0,ROUND((450-Data_count!D30)/9,0)))
   ),
   IF(ISNUMBER(SEARCH("Full-Time",E30)),
      IF(Data_count!D30&lt;=180,10,IF(Data_count!D30&gt;=270,0,ROUND((270-Data_count!D30)/9,0))),
      IF(Data_count!D30&lt;=270,10,IF(Data_count!D30&gt;=360,0,ROUND((360-Data_count!D30)/9,0)))
   )
))</f>
        <v>0</v>
      </c>
      <c r="G30">
        <f>IF(Data_count!E30="","",
IF(Data_count!E30&lt;=0,0,
MIN(10, INT(Data_count!E30/36)*2)))</f>
        <v>0</v>
      </c>
      <c r="H30">
        <f>IF(A30="","",IF(COUNTIF(PPM_Student!E30:'PPM_Student'!T30,"US")&gt;=3,0,10-COUNTIF(PPM_Student!E30:'PPM_Student'!T30,"US")))</f>
        <v>0</v>
      </c>
      <c r="I30">
        <f>IF(Data_count!F30="","",
IF(ISNUMBER(SEARCH("Ph.D",D30)),
   IF(Data_count!G30="","",
      ROUND(
        ( MAX(0,10-QUOTIENT(MAX(0,Data_count!F30-720),7))
        + MAX(0,10-QUOTIENT(MAX(0,Data_count!G30-720),7)) )/2, 0)
   ),
   MAX(0,10-QUOTIENT(MAX(0,Data_count!F30-450),7))
))</f>
        <v>5</v>
      </c>
      <c r="J30">
        <f t="shared" si="0"/>
        <v>5</v>
      </c>
    </row>
    <row r="31" spans="1:10">
      <c r="A31" t="str">
        <f>IF(Data_input!A31="","",Data_input!A31)</f>
        <v>248R7</v>
      </c>
      <c r="B31" t="str">
        <f>IF(Data_input!B31="","",Data_input!B31)</f>
        <v>250PG248PD</v>
      </c>
      <c r="C31" t="str">
        <f>IF(Data_input!C31="","",Data_input!C31)</f>
        <v xml:space="preserve">RAJESH PRASAD  </v>
      </c>
      <c r="D31" t="str">
        <f>IF(Data_input!L31="","",Data_input!L31)</f>
        <v>Master (Mgmt)</v>
      </c>
      <c r="E31" t="str">
        <f>IF(Data_input!K31="","",Data_input!K31)</f>
        <v>Part-Time</v>
      </c>
      <c r="F31">
        <f>IF(Data_count!D31="","",
IF(ISNUMBER(SEARCH("Ph.D",D31)),
   IF(ISNUMBER(SEARCH("Full-Time",E31)),
      IF(Data_count!D31&lt;=270,10,IF(Data_count!D31&gt;=360,0,ROUND((360-Data_count!D31)/9,0))),
      IF(Data_count!D31&lt;=360,10,IF(Data_count!D31&gt;=450,0,ROUND((450-Data_count!D31)/9,0)))
   ),
   IF(ISNUMBER(SEARCH("Full-Time",E31)),
      IF(Data_count!D31&lt;=180,10,IF(Data_count!D31&gt;=270,0,ROUND((270-Data_count!D31)/9,0))),
      IF(Data_count!D31&lt;=270,10,IF(Data_count!D31&gt;=360,0,ROUND((360-Data_count!D31)/9,0)))
   )
))</f>
        <v>10</v>
      </c>
      <c r="G31">
        <f>IF(Data_count!E31="","",
IF(Data_count!E31&lt;=0,0,
MIN(10, INT(Data_count!E31/36)*2)))</f>
        <v>10</v>
      </c>
      <c r="H31">
        <f>IF(A31="","",IF(COUNTIF(PPM_Student!E31:'PPM_Student'!T31,"US")&gt;=3,0,10-COUNTIF(PPM_Student!E31:'PPM_Student'!T31,"US")))</f>
        <v>10</v>
      </c>
      <c r="I31">
        <f>IF(Data_count!F31="","",
IF(ISNUMBER(SEARCH("Ph.D",D31)),
   IF(Data_count!G31="","",
      ROUND(
        ( MAX(0,10-QUOTIENT(MAX(0,Data_count!F31-720),7))
        + MAX(0,10-QUOTIENT(MAX(0,Data_count!G31-720),7)) )/2, 0)
   ),
   MAX(0,10-QUOTIENT(MAX(0,Data_count!F31-450),7))
))</f>
        <v>10</v>
      </c>
      <c r="J31">
        <f t="shared" si="0"/>
        <v>40</v>
      </c>
    </row>
    <row r="32" spans="1:10">
      <c r="A32" t="str">
        <f>IF(Data_input!A32="","",Data_input!A32)</f>
        <v>2458T</v>
      </c>
      <c r="B32" t="str">
        <f>IF(Data_input!B32="","",Data_input!B32)</f>
        <v>250PH234RM</v>
      </c>
      <c r="C32" t="str">
        <f>IF(Data_input!C32="","",Data_input!C32)</f>
        <v xml:space="preserve">GOH MUN KIT  </v>
      </c>
      <c r="D32" t="str">
        <f>IF(Data_input!L32="","",Data_input!L32)</f>
        <v>Master (Mgmt)</v>
      </c>
      <c r="E32" t="str">
        <f>IF(Data_input!K32="","",Data_input!K32)</f>
        <v>Part-Time</v>
      </c>
      <c r="F32">
        <f>IF(Data_count!D32="","",
IF(ISNUMBER(SEARCH("Ph.D",D32)),
   IF(ISNUMBER(SEARCH("Full-Time",E32)),
      IF(Data_count!D32&lt;=270,10,IF(Data_count!D32&gt;=360,0,ROUND((360-Data_count!D32)/9,0))),
      IF(Data_count!D32&lt;=360,10,IF(Data_count!D32&gt;=450,0,ROUND((450-Data_count!D32)/9,0)))
   ),
   IF(ISNUMBER(SEARCH("Full-Time",E32)),
      IF(Data_count!D32&lt;=180,10,IF(Data_count!D32&gt;=270,0,ROUND((270-Data_count!D32)/9,0))),
      IF(Data_count!D32&lt;=270,10,IF(Data_count!D32&gt;=360,0,ROUND((360-Data_count!D32)/9,0)))
   )
))</f>
        <v>10</v>
      </c>
      <c r="G32">
        <f>IF(Data_count!E32="","",
IF(Data_count!E32&lt;=0,0,
MIN(10, INT(Data_count!E32/36)*2)))</f>
        <v>10</v>
      </c>
      <c r="H32">
        <f>IF(A32="","",IF(COUNTIF(PPM_Student!E32:'PPM_Student'!T32,"US")&gt;=3,0,10-COUNTIF(PPM_Student!E32:'PPM_Student'!T32,"US")))</f>
        <v>10</v>
      </c>
      <c r="I32">
        <f>IF(Data_count!F32="","",
IF(ISNUMBER(SEARCH("Ph.D",D32)),
   IF(Data_count!G32="","",
      ROUND(
        ( MAX(0,10-QUOTIENT(MAX(0,Data_count!F32-720),7))
        + MAX(0,10-QUOTIENT(MAX(0,Data_count!G32-720),7)) )/2, 0)
   ),
   MAX(0,10-QUOTIENT(MAX(0,Data_count!F32-450),7))
))</f>
        <v>10</v>
      </c>
      <c r="J32">
        <f t="shared" si="0"/>
        <v>40</v>
      </c>
    </row>
    <row r="33" spans="1:10">
      <c r="A33" t="str">
        <f>IF(Data_input!A33="","",Data_input!A33)</f>
        <v>2465K</v>
      </c>
      <c r="B33" t="str">
        <f>IF(Data_input!B33="","",Data_input!B33)</f>
        <v>250PJ285Q1</v>
      </c>
      <c r="C33" t="str">
        <f>IF(Data_input!C33="","",Data_input!C33)</f>
        <v xml:space="preserve">AISHA BINTI HASSAN  </v>
      </c>
      <c r="D33" t="str">
        <f>IF(Data_input!L33="","",Data_input!L33)</f>
        <v>Master (Mgmt)</v>
      </c>
      <c r="E33" t="str">
        <f>IF(Data_input!K33="","",Data_input!K33)</f>
        <v>Part-Time</v>
      </c>
      <c r="F33">
        <f>IF(Data_count!D33="","",
IF(ISNUMBER(SEARCH("Ph.D",D33)),
   IF(ISNUMBER(SEARCH("Full-Time",E33)),
      IF(Data_count!D33&lt;=270,10,IF(Data_count!D33&gt;=360,0,ROUND((360-Data_count!D33)/9,0))),
      IF(Data_count!D33&lt;=360,10,IF(Data_count!D33&gt;=450,0,ROUND((450-Data_count!D33)/9,0)))
   ),
   IF(ISNUMBER(SEARCH("Full-Time",E33)),
      IF(Data_count!D33&lt;=180,10,IF(Data_count!D33&gt;=270,0,ROUND((270-Data_count!D33)/9,0))),
      IF(Data_count!D33&lt;=270,10,IF(Data_count!D33&gt;=360,0,ROUND((360-Data_count!D33)/9,0)))
   )
))</f>
        <v>10</v>
      </c>
      <c r="G33">
        <f>IF(Data_count!E33="","",
IF(Data_count!E33&lt;=0,0,
MIN(10, INT(Data_count!E33/36)*2)))</f>
        <v>10</v>
      </c>
      <c r="H33">
        <f>IF(A33="","",IF(COUNTIF(PPM_Student!E33:'PPM_Student'!T33,"US")&gt;=3,0,10-COUNTIF(PPM_Student!E33:'PPM_Student'!T33,"US")))</f>
        <v>10</v>
      </c>
      <c r="I33">
        <f>IF(Data_count!F33="","",
IF(ISNUMBER(SEARCH("Ph.D",D33)),
   IF(Data_count!G33="","",
      ROUND(
        ( MAX(0,10-QUOTIENT(MAX(0,Data_count!F33-720),7))
        + MAX(0,10-QUOTIENT(MAX(0,Data_count!G33-720),7)) )/2, 0)
   ),
   MAX(0,10-QUOTIENT(MAX(0,Data_count!F33-450),7))
))</f>
        <v>10</v>
      </c>
      <c r="J33">
        <f t="shared" si="0"/>
        <v>40</v>
      </c>
    </row>
    <row r="34" spans="1:10">
      <c r="A34" t="str">
        <f>IF(Data_input!A34="","",Data_input!A34)</f>
        <v>247ZK</v>
      </c>
      <c r="B34" t="str">
        <f>IF(Data_input!B34="","",Data_input!B34)</f>
        <v>250PK292RD</v>
      </c>
      <c r="C34" t="str">
        <f>IF(Data_input!C34="","",Data_input!C34)</f>
        <v xml:space="preserve">ONG JUN HAO  </v>
      </c>
      <c r="D34" t="str">
        <f>IF(Data_input!L34="","",Data_input!L34)</f>
        <v>Master (Law)</v>
      </c>
      <c r="E34" t="str">
        <f>IF(Data_input!K34="","",Data_input!K34)</f>
        <v>Part-Time</v>
      </c>
      <c r="F34">
        <f>IF(Data_count!D34="","",
IF(ISNUMBER(SEARCH("Ph.D",D34)),
   IF(ISNUMBER(SEARCH("Full-Time",E34)),
      IF(Data_count!D34&lt;=270,10,IF(Data_count!D34&gt;=360,0,ROUND((360-Data_count!D34)/9,0))),
      IF(Data_count!D34&lt;=360,10,IF(Data_count!D34&gt;=450,0,ROUND((450-Data_count!D34)/9,0)))
   ),
   IF(ISNUMBER(SEARCH("Full-Time",E34)),
      IF(Data_count!D34&lt;=180,10,IF(Data_count!D34&gt;=270,0,ROUND((270-Data_count!D34)/9,0))),
      IF(Data_count!D34&lt;=270,10,IF(Data_count!D34&gt;=360,0,ROUND((360-Data_count!D34)/9,0)))
   )
))</f>
        <v>10</v>
      </c>
      <c r="G34">
        <f>IF(Data_count!E34="","",
IF(Data_count!E34&lt;=0,0,
MIN(10, INT(Data_count!E34/36)*2)))</f>
        <v>6</v>
      </c>
      <c r="H34">
        <f>IF(A34="","",IF(COUNTIF(PPM_Student!E34:'PPM_Student'!T34,"US")&gt;=3,0,10-COUNTIF(PPM_Student!E34:'PPM_Student'!T34,"US")))</f>
        <v>10</v>
      </c>
      <c r="I34">
        <f>IF(Data_count!F34="","",
IF(ISNUMBER(SEARCH("Ph.D",D34)),
   IF(Data_count!G34="","",
      ROUND(
        ( MAX(0,10-QUOTIENT(MAX(0,Data_count!F34-720),7))
        + MAX(0,10-QUOTIENT(MAX(0,Data_count!G34-720),7)) )/2, 0)
   ),
   MAX(0,10-QUOTIENT(MAX(0,Data_count!F34-450),7))
))</f>
        <v>10</v>
      </c>
      <c r="J34">
        <f t="shared" si="0"/>
        <v>36</v>
      </c>
    </row>
    <row r="35" spans="1:10">
      <c r="A35" t="str">
        <f>IF(Data_input!A35="","",Data_input!A35)</f>
        <v>249PK</v>
      </c>
      <c r="B35" t="str">
        <f>IF(Data_input!B35="","",Data_input!B35)</f>
        <v>250PL239R2</v>
      </c>
      <c r="C35" t="str">
        <f>IF(Data_input!C35="","",Data_input!C35)</f>
        <v xml:space="preserve">PRIYA DEVI NAIR  </v>
      </c>
      <c r="D35" t="str">
        <f>IF(Data_input!L35="","",Data_input!L35)</f>
        <v>Master (Law)</v>
      </c>
      <c r="E35" t="str">
        <f>IF(Data_input!K35="","",Data_input!K35)</f>
        <v>Part-Time</v>
      </c>
      <c r="F35">
        <f>IF(Data_count!D35="","",
IF(ISNUMBER(SEARCH("Ph.D",D35)),
   IF(ISNUMBER(SEARCH("Full-Time",E35)),
      IF(Data_count!D35&lt;=270,10,IF(Data_count!D35&gt;=360,0,ROUND((360-Data_count!D35)/9,0))),
      IF(Data_count!D35&lt;=360,10,IF(Data_count!D35&gt;=450,0,ROUND((450-Data_count!D35)/9,0)))
   ),
   IF(ISNUMBER(SEARCH("Full-Time",E35)),
      IF(Data_count!D35&lt;=180,10,IF(Data_count!D35&gt;=270,0,ROUND((270-Data_count!D35)/9,0))),
      IF(Data_count!D35&lt;=270,10,IF(Data_count!D35&gt;=360,0,ROUND((360-Data_count!D35)/9,0)))
   )
))</f>
        <v>10</v>
      </c>
      <c r="G35">
        <f>IF(Data_count!E35="","",
IF(Data_count!E35&lt;=0,0,
MIN(10, INT(Data_count!E35/36)*2)))</f>
        <v>8</v>
      </c>
      <c r="H35">
        <f>IF(A35="","",IF(COUNTIF(PPM_Student!E35:'PPM_Student'!T35,"US")&gt;=3,0,10-COUNTIF(PPM_Student!E35:'PPM_Student'!T35,"US")))</f>
        <v>9</v>
      </c>
      <c r="I35">
        <f>IF(Data_count!F35="","",
IF(ISNUMBER(SEARCH("Ph.D",D35)),
   IF(Data_count!G35="","",
      ROUND(
        ( MAX(0,10-QUOTIENT(MAX(0,Data_count!F35-720),7))
        + MAX(0,10-QUOTIENT(MAX(0,Data_count!G35-720),7)) )/2, 0)
   ),
   MAX(0,10-QUOTIENT(MAX(0,Data_count!F35-450),7))
))</f>
        <v>10</v>
      </c>
      <c r="J35">
        <f t="shared" si="0"/>
        <v>37</v>
      </c>
    </row>
    <row r="36" spans="1:10">
      <c r="A36" t="str">
        <f>IF(Data_input!A36="","",Data_input!A36)</f>
        <v>243YK</v>
      </c>
      <c r="B36" t="str">
        <f>IF(Data_input!B36="","",Data_input!B36)</f>
        <v>250PN278QD</v>
      </c>
      <c r="C36" t="str">
        <f>IF(Data_input!C36="","",Data_input!C36)</f>
        <v xml:space="preserve">CHONG KAI LUN </v>
      </c>
      <c r="D36" t="str">
        <f>IF(Data_input!L36="","",Data_input!L36)</f>
        <v>Master (Law)</v>
      </c>
      <c r="E36" t="str">
        <f>IF(Data_input!K36="","",Data_input!K36)</f>
        <v>Part-Time</v>
      </c>
      <c r="F36">
        <f>IF(Data_count!D36="","",
IF(ISNUMBER(SEARCH("Ph.D",D36)),
   IF(ISNUMBER(SEARCH("Full-Time",E36)),
      IF(Data_count!D36&lt;=270,10,IF(Data_count!D36&gt;=360,0,ROUND((360-Data_count!D36)/9,0))),
      IF(Data_count!D36&lt;=360,10,IF(Data_count!D36&gt;=450,0,ROUND((450-Data_count!D36)/9,0)))
   ),
   IF(ISNUMBER(SEARCH("Full-Time",E36)),
      IF(Data_count!D36&lt;=180,10,IF(Data_count!D36&gt;=270,0,ROUND((270-Data_count!D36)/9,0))),
      IF(Data_count!D36&lt;=270,10,IF(Data_count!D36&gt;=360,0,ROUND((360-Data_count!D36)/9,0)))
   )
))</f>
        <v>10</v>
      </c>
      <c r="G36">
        <f>IF(Data_count!E36="","",
IF(Data_count!E36&lt;=0,0,
MIN(10, INT(Data_count!E36/36)*2)))</f>
        <v>4</v>
      </c>
      <c r="H36">
        <f>IF(A36="","",IF(COUNTIF(PPM_Student!E36:'PPM_Student'!T36,"US")&gt;=3,0,10-COUNTIF(PPM_Student!E36:'PPM_Student'!T36,"US")))</f>
        <v>8</v>
      </c>
      <c r="I36">
        <f>IF(Data_count!F36="","",
IF(ISNUMBER(SEARCH("Ph.D",D36)),
   IF(Data_count!G36="","",
      ROUND(
        ( MAX(0,10-QUOTIENT(MAX(0,Data_count!F36-720),7))
        + MAX(0,10-QUOTIENT(MAX(0,Data_count!G36-720),7)) )/2, 0)
   ),
   MAX(0,10-QUOTIENT(MAX(0,Data_count!F36-450),7))
))</f>
        <v>10</v>
      </c>
      <c r="J36">
        <f t="shared" si="0"/>
        <v>32</v>
      </c>
    </row>
    <row r="37" spans="1:10">
      <c r="A37" t="str">
        <f>IF(Data_input!A37="","",Data_input!A37)</f>
        <v>245MK</v>
      </c>
      <c r="B37" t="str">
        <f>IF(Data_input!B37="","",Data_input!B37)</f>
        <v>250PR284PK</v>
      </c>
      <c r="C37" t="str">
        <f>IF(Data_input!C37="","",Data_input!C37)</f>
        <v xml:space="preserve">ABDUL RAHMAN BIN OTHMAN  </v>
      </c>
      <c r="D37" t="str">
        <f>IF(Data_input!L37="","",Data_input!L37)</f>
        <v>Master (Law)</v>
      </c>
      <c r="E37" t="str">
        <f>IF(Data_input!K37="","",Data_input!K37)</f>
        <v>Part-Time</v>
      </c>
      <c r="F37">
        <f>IF(Data_count!D37="","",
IF(ISNUMBER(SEARCH("Ph.D",D37)),
   IF(ISNUMBER(SEARCH("Full-Time",E37)),
      IF(Data_count!D37&lt;=270,10,IF(Data_count!D37&gt;=360,0,ROUND((360-Data_count!D37)/9,0))),
      IF(Data_count!D37&lt;=360,10,IF(Data_count!D37&gt;=450,0,ROUND((450-Data_count!D37)/9,0)))
   ),
   IF(ISNUMBER(SEARCH("Full-Time",E37)),
      IF(Data_count!D37&lt;=180,10,IF(Data_count!D37&gt;=270,0,ROUND((270-Data_count!D37)/9,0))),
      IF(Data_count!D37&lt;=270,10,IF(Data_count!D37&gt;=360,0,ROUND((360-Data_count!D37)/9,0)))
   )
))</f>
        <v>2</v>
      </c>
      <c r="G37">
        <f>IF(Data_count!E37="","",
IF(Data_count!E37&lt;=0,0,
MIN(10, INT(Data_count!E37/36)*2)))</f>
        <v>0</v>
      </c>
      <c r="H37">
        <f>IF(A37="","",IF(COUNTIF(PPM_Student!E37:'PPM_Student'!T37,"US")&gt;=3,0,10-COUNTIF(PPM_Student!E37:'PPM_Student'!T37,"US")))</f>
        <v>9</v>
      </c>
      <c r="I37">
        <f>IF(Data_count!F37="","",
IF(ISNUMBER(SEARCH("Ph.D",D37)),
   IF(Data_count!G37="","",
      ROUND(
        ( MAX(0,10-QUOTIENT(MAX(0,Data_count!F37-720),7))
        + MAX(0,10-QUOTIENT(MAX(0,Data_count!G37-720),7)) )/2, 0)
   ),
   MAX(0,10-QUOTIENT(MAX(0,Data_count!F37-450),7))
))</f>
        <v>7</v>
      </c>
      <c r="J37">
        <f t="shared" si="0"/>
        <v>18</v>
      </c>
    </row>
    <row r="38" spans="1:10">
      <c r="A38" t="str">
        <f>IF(Data_input!A38="","",Data_input!A38)</f>
        <v>248RM</v>
      </c>
      <c r="B38" t="str">
        <f>IF(Data_input!B38="","",Data_input!B38)</f>
        <v>250PS295RM</v>
      </c>
      <c r="C38" t="str">
        <f>IF(Data_input!C38="","",Data_input!C38)</f>
        <v>YAP SIEW LING</v>
      </c>
      <c r="D38" t="str">
        <f>IF(Data_input!L38="","",Data_input!L38)</f>
        <v>Master (Communication)</v>
      </c>
      <c r="E38" t="str">
        <f>IF(Data_input!K38="","",Data_input!K38)</f>
        <v>Part-Time</v>
      </c>
      <c r="F38">
        <f>IF(Data_count!D38="","",
IF(ISNUMBER(SEARCH("Ph.D",D38)),
   IF(ISNUMBER(SEARCH("Full-Time",E38)),
      IF(Data_count!D38&lt;=270,10,IF(Data_count!D38&gt;=360,0,ROUND((360-Data_count!D38)/9,0))),
      IF(Data_count!D38&lt;=360,10,IF(Data_count!D38&gt;=450,0,ROUND((450-Data_count!D38)/9,0)))
   ),
   IF(ISNUMBER(SEARCH("Full-Time",E38)),
      IF(Data_count!D38&lt;=180,10,IF(Data_count!D38&gt;=270,0,ROUND((270-Data_count!D38)/9,0))),
      IF(Data_count!D38&lt;=270,10,IF(Data_count!D38&gt;=360,0,ROUND((360-Data_count!D38)/9,0)))
   )
))</f>
        <v>0</v>
      </c>
      <c r="G38">
        <f>IF(Data_count!E38="","",
IF(Data_count!E38&lt;=0,0,
MIN(10, INT(Data_count!E38/36)*2)))</f>
        <v>0</v>
      </c>
      <c r="H38">
        <f>IF(A38="","",IF(COUNTIF(PPM_Student!E38:'PPM_Student'!T38,"US")&gt;=3,0,10-COUNTIF(PPM_Student!E38:'PPM_Student'!T38,"US")))</f>
        <v>0</v>
      </c>
      <c r="I38">
        <f>IF(Data_count!F38="","",
IF(ISNUMBER(SEARCH("Ph.D",D38)),
   IF(Data_count!G38="","",
      ROUND(
        ( MAX(0,10-QUOTIENT(MAX(0,Data_count!F38-720),7))
        + MAX(0,10-QUOTIENT(MAX(0,Data_count!G38-720),7)) )/2, 0)
   ),
   MAX(0,10-QUOTIENT(MAX(0,Data_count!F38-450),7))
))</f>
        <v>5</v>
      </c>
      <c r="J38">
        <f t="shared" si="0"/>
        <v>5</v>
      </c>
    </row>
    <row r="39" spans="1:10">
      <c r="A39" t="str">
        <f>IF(Data_input!A39="","",Data_input!A39)</f>
        <v>249RK</v>
      </c>
      <c r="B39" t="str">
        <f>IF(Data_input!B39="","",Data_input!B39)</f>
        <v>250PT244R3</v>
      </c>
      <c r="C39" t="str">
        <f>IF(Data_input!C39="","",Data_input!C39)</f>
        <v xml:space="preserve">MIRA SHARMINA BINTI HAMZAH  </v>
      </c>
      <c r="D39" t="str">
        <f>IF(Data_input!L39="","",Data_input!L39)</f>
        <v>Master (Communication)</v>
      </c>
      <c r="E39" t="str">
        <f>IF(Data_input!K39="","",Data_input!K39)</f>
        <v>Part-Time</v>
      </c>
      <c r="F39">
        <f>IF(Data_count!D39="","",
IF(ISNUMBER(SEARCH("Ph.D",D39)),
   IF(ISNUMBER(SEARCH("Full-Time",E39)),
      IF(Data_count!D39&lt;=270,10,IF(Data_count!D39&gt;=360,0,ROUND((360-Data_count!D39)/9,0))),
      IF(Data_count!D39&lt;=360,10,IF(Data_count!D39&gt;=450,0,ROUND((450-Data_count!D39)/9,0)))
   ),
   IF(ISNUMBER(SEARCH("Full-Time",E39)),
      IF(Data_count!D39&lt;=180,10,IF(Data_count!D39&gt;=270,0,ROUND((270-Data_count!D39)/9,0))),
      IF(Data_count!D39&lt;=270,10,IF(Data_count!D39&gt;=360,0,ROUND((360-Data_count!D39)/9,0)))
   )
))</f>
        <v>0</v>
      </c>
      <c r="G39">
        <f>IF(Data_count!E39="","",
IF(Data_count!E39&lt;=0,0,
MIN(10, INT(Data_count!E39/36)*2)))</f>
        <v>0</v>
      </c>
      <c r="H39">
        <f>IF(A39="","",IF(COUNTIF(PPM_Student!E39:'PPM_Student'!T39,"US")&gt;=3,0,10-COUNTIF(PPM_Student!E39:'PPM_Student'!T39,"US")))</f>
        <v>0</v>
      </c>
      <c r="I39">
        <f>IF(Data_count!F39="","",
IF(ISNUMBER(SEARCH("Ph.D",D39)),
   IF(Data_count!G39="","",
      ROUND(
        ( MAX(0,10-QUOTIENT(MAX(0,Data_count!F39-720),7))
        + MAX(0,10-QUOTIENT(MAX(0,Data_count!G39-720),7)) )/2, 0)
   ),
   MAX(0,10-QUOTIENT(MAX(0,Data_count!F39-450),7))
))</f>
        <v>8</v>
      </c>
      <c r="J39">
        <f t="shared" si="0"/>
        <v>8</v>
      </c>
    </row>
    <row r="40" spans="1:10">
      <c r="A40" t="str">
        <f>IF(Data_input!A40="","",Data_input!A40)</f>
        <v>247LH</v>
      </c>
      <c r="B40" t="str">
        <f>IF(Data_input!B40="","",Data_input!B40)</f>
        <v>250PS297RL</v>
      </c>
      <c r="C40" t="str">
        <f>IF(Data_input!C40="","",Data_input!C40)</f>
        <v>KOH CHEE MING</v>
      </c>
      <c r="D40" t="str">
        <f>IF(Data_input!L40="","",Data_input!L40)</f>
        <v>Master (Communication)</v>
      </c>
      <c r="E40" t="str">
        <f>IF(Data_input!K40="","",Data_input!K40)</f>
        <v>Part-Time</v>
      </c>
      <c r="F40">
        <f>IF(Data_count!D40="","",
IF(ISNUMBER(SEARCH("Ph.D",D40)),
   IF(ISNUMBER(SEARCH("Full-Time",E40)),
      IF(Data_count!D40&lt;=270,10,IF(Data_count!D40&gt;=360,0,ROUND((360-Data_count!D40)/9,0))),
      IF(Data_count!D40&lt;=360,10,IF(Data_count!D40&gt;=450,0,ROUND((450-Data_count!D40)/9,0)))
   ),
   IF(ISNUMBER(SEARCH("Full-Time",E40)),
      IF(Data_count!D40&lt;=180,10,IF(Data_count!D40&gt;=270,0,ROUND((270-Data_count!D40)/9,0))),
      IF(Data_count!D40&lt;=270,10,IF(Data_count!D40&gt;=360,0,ROUND((360-Data_count!D40)/9,0)))
   )
))</f>
        <v>0</v>
      </c>
      <c r="G40">
        <f>IF(Data_count!E40="","",
IF(Data_count!E40&lt;=0,0,
MIN(10, INT(Data_count!E40/36)*2)))</f>
        <v>0</v>
      </c>
      <c r="H40">
        <f>IF(A40="","",IF(COUNTIF(PPM_Student!E40:'PPM_Student'!T40,"US")&gt;=3,0,10-COUNTIF(PPM_Student!E40:'PPM_Student'!T40,"US")))</f>
        <v>0</v>
      </c>
      <c r="I40">
        <f>IF(Data_count!F40="","",
IF(ISNUMBER(SEARCH("Ph.D",D40)),
   IF(Data_count!G40="","",
      ROUND(
        ( MAX(0,10-QUOTIENT(MAX(0,Data_count!F40-720),7))
        + MAX(0,10-QUOTIENT(MAX(0,Data_count!G40-720),7)) )/2, 0)
   ),
   MAX(0,10-QUOTIENT(MAX(0,Data_count!F40-450),7))
))</f>
        <v>7</v>
      </c>
      <c r="J40">
        <f t="shared" si="0"/>
        <v>7</v>
      </c>
    </row>
    <row r="41" spans="1:10">
      <c r="A41" t="str">
        <f>IF(Data_input!A41="","",Data_input!A41)</f>
        <v>247LH</v>
      </c>
      <c r="B41" t="str">
        <f>IF(Data_input!B41="","",Data_input!B41)</f>
        <v>250PS297RL</v>
      </c>
      <c r="C41" t="str">
        <f>IF(Data_input!C41="","",Data_input!C41)</f>
        <v>ANG ANSON</v>
      </c>
      <c r="D41" t="str">
        <f>IF(Data_input!L41="","",Data_input!L41)</f>
        <v>Master (Communication)</v>
      </c>
      <c r="E41" t="str">
        <f>IF(Data_input!K41="","",Data_input!K41)</f>
        <v>Full-Time</v>
      </c>
      <c r="F41" t="str">
        <f>IF(Data_count!D41="","",
IF(ISNUMBER(SEARCH("Ph.D",D41)),
   IF(ISNUMBER(SEARCH("Full-Time",E41)),
      IF(Data_count!D41&lt;=270,10,IF(Data_count!D41&gt;=360,0,ROUND((360-Data_count!D41)/9,0))),
      IF(Data_count!D41&lt;=360,10,IF(Data_count!D41&gt;=450,0,ROUND((450-Data_count!D41)/9,0)))
   ),
   IF(ISNUMBER(SEARCH("Full-Time",E41)),
      IF(Data_count!D41&lt;=180,10,IF(Data_count!D41&gt;=270,0,ROUND((270-Data_count!D41)/9,0))),
      IF(Data_count!D41&lt;=270,10,IF(Data_count!D41&gt;=360,0,ROUND((360-Data_count!D41)/9,0)))
   )
))</f>
        <v/>
      </c>
      <c r="G41" t="str">
        <f>IF(Data_count!E41="","",
IF(Data_count!E41&lt;=0,0,
MIN(10, INT(Data_count!E41/36)*2)))</f>
        <v/>
      </c>
      <c r="H41">
        <f>IF(A41="","",IF(COUNTIF(PPM_Student!E41:'PPM_Student'!T41,"US")&gt;=3,0,10-COUNTIF(PPM_Student!E41:'PPM_Student'!T41,"US")))</f>
        <v>10</v>
      </c>
      <c r="I41" t="str">
        <f>IF(Data_count!F41="","",
IF(ISNUMBER(SEARCH("Ph.D",D41)),
   IF(Data_count!G41="","",
      ROUND(
        ( MAX(0,10-QUOTIENT(MAX(0,Data_count!F41-720),7))
        + MAX(0,10-QUOTIENT(MAX(0,Data_count!G41-720),7)) )/2, 0)
   ),
   MAX(0,10-QUOTIENT(MAX(0,Data_count!F41-450),7))
))</f>
        <v/>
      </c>
      <c r="J41">
        <f t="shared" si="0"/>
        <v>10</v>
      </c>
    </row>
    <row r="42" spans="1:10">
      <c r="A42" t="str">
        <f>IF(Data_input!A42="","",Data_input!A42)</f>
        <v/>
      </c>
      <c r="B42" t="str">
        <f>IF(Data_input!B42="","",Data_input!B42)</f>
        <v/>
      </c>
      <c r="C42" t="str">
        <f>IF(Data_input!C42="","",Data_input!C42)</f>
        <v/>
      </c>
      <c r="D42" t="str">
        <f>IF(Data_input!L42="","",Data_input!L42)</f>
        <v/>
      </c>
      <c r="E42" t="str">
        <f>IF(Data_input!K42="","",Data_input!K42)</f>
        <v/>
      </c>
      <c r="F42" t="str">
        <f>IF(Data_count!D42="","",
IF(ISNUMBER(SEARCH("Ph.D",D42)),
   IF(ISNUMBER(SEARCH("Full-Time",E42)),
      IF(Data_count!D42&lt;=270,10,IF(Data_count!D42&gt;=360,0,ROUND((360-Data_count!D42)/9,0))),
      IF(Data_count!D42&lt;=360,10,IF(Data_count!D42&gt;=450,0,ROUND((450-Data_count!D42)/9,0)))
   ),
   IF(ISNUMBER(SEARCH("Full-Time",E42)),
      IF(Data_count!D42&lt;=180,10,IF(Data_count!D42&gt;=270,0,ROUND((270-Data_count!D42)/9,0))),
      IF(Data_count!D42&lt;=270,10,IF(Data_count!D42&gt;=360,0,ROUND((360-Data_count!D42)/9,0)))
   )
))</f>
        <v/>
      </c>
      <c r="G42" t="str">
        <f>IF(Data_count!E42="","",
IF(Data_count!E42&lt;=0,0,
MIN(10, INT(Data_count!E42/36)*2)))</f>
        <v/>
      </c>
      <c r="H42" t="str">
        <f>IF(A42="","",IF(COUNTIF(PPM_Student!E42:'PPM_Student'!T42,"US")&gt;=3,0,10-COUNTIF(PPM_Student!E42:'PPM_Student'!T42,"US")))</f>
        <v/>
      </c>
      <c r="I42" t="str">
        <f>IF(Data_count!F42="","",
IF(ISNUMBER(SEARCH("Ph.D",D42)),
   IF(Data_count!G42="","",
      ROUND(
        ( MAX(0,10-QUOTIENT(MAX(0,Data_count!F42-720),7))
        + MAX(0,10-QUOTIENT(MAX(0,Data_count!G42-720),7)) )/2, 0)
   ),
   MAX(0,10-QUOTIENT(MAX(0,Data_count!F42-450),7))
))</f>
        <v/>
      </c>
      <c r="J42" t="str">
        <f t="shared" si="0"/>
        <v/>
      </c>
    </row>
    <row r="43" spans="1:10">
      <c r="A43" t="str">
        <f>IF(Data_input!A43="","",Data_input!A43)</f>
        <v/>
      </c>
      <c r="B43" t="str">
        <f>IF(Data_input!B43="","",Data_input!B43)</f>
        <v/>
      </c>
      <c r="C43" t="str">
        <f>IF(Data_input!C43="","",Data_input!C43)</f>
        <v/>
      </c>
      <c r="D43" t="str">
        <f>IF(Data_input!L43="","",Data_input!L43)</f>
        <v/>
      </c>
      <c r="E43" t="str">
        <f>IF(Data_input!K43="","",Data_input!K43)</f>
        <v/>
      </c>
      <c r="F43" t="str">
        <f>IF(Data_count!D43="","",
IF(ISNUMBER(SEARCH("Ph.D",D43)),
   IF(ISNUMBER(SEARCH("Full-Time",E43)),
      IF(Data_count!D43&lt;=270,10,IF(Data_count!D43&gt;=360,0,ROUND((360-Data_count!D43)/9,0))),
      IF(Data_count!D43&lt;=360,10,IF(Data_count!D43&gt;=450,0,ROUND((450-Data_count!D43)/9,0)))
   ),
   IF(ISNUMBER(SEARCH("Full-Time",E43)),
      IF(Data_count!D43&lt;=180,10,IF(Data_count!D43&gt;=270,0,ROUND((270-Data_count!D43)/9,0))),
      IF(Data_count!D43&lt;=270,10,IF(Data_count!D43&gt;=360,0,ROUND((360-Data_count!D43)/9,0)))
   )
))</f>
        <v/>
      </c>
      <c r="G43" t="str">
        <f>IF(Data_count!E43="","",
IF(Data_count!E43&lt;=0,0,
MIN(10, INT(Data_count!E43/36)*2)))</f>
        <v/>
      </c>
      <c r="H43" t="str">
        <f>IF(A43="","",IF(COUNTIF(PPM_Student!E43:'PPM_Student'!T43,"US")&gt;=3,0,10-COUNTIF(PPM_Student!E43:'PPM_Student'!T43,"US")))</f>
        <v/>
      </c>
      <c r="I43" t="str">
        <f>IF(Data_count!F43="","",
IF(ISNUMBER(SEARCH("Ph.D",D43)),
   IF(Data_count!G43="","",
      ROUND(
        ( MAX(0,10-QUOTIENT(MAX(0,Data_count!F43-720),7))
        + MAX(0,10-QUOTIENT(MAX(0,Data_count!G43-720),7)) )/2, 0)
   ),
   MAX(0,10-QUOTIENT(MAX(0,Data_count!F43-450),7))
))</f>
        <v/>
      </c>
      <c r="J43" t="str">
        <f t="shared" si="0"/>
        <v/>
      </c>
    </row>
    <row r="44" spans="1:10">
      <c r="A44" t="str">
        <f>IF(Data_input!A44="","",Data_input!A44)</f>
        <v/>
      </c>
      <c r="B44" t="str">
        <f>IF(Data_input!B44="","",Data_input!B44)</f>
        <v/>
      </c>
      <c r="C44" t="str">
        <f>IF(Data_input!C44="","",Data_input!C44)</f>
        <v/>
      </c>
      <c r="D44" t="str">
        <f>IF(Data_input!L44="","",Data_input!L44)</f>
        <v/>
      </c>
      <c r="E44" t="str">
        <f>IF(Data_input!K44="","",Data_input!K44)</f>
        <v/>
      </c>
      <c r="F44" t="str">
        <f>IF(Data_count!D44="","",
IF(ISNUMBER(SEARCH("Ph.D",D44)),
   IF(ISNUMBER(SEARCH("Full-Time",E44)),
      IF(Data_count!D44&lt;=270,10,IF(Data_count!D44&gt;=360,0,ROUND((360-Data_count!D44)/9,0))),
      IF(Data_count!D44&lt;=360,10,IF(Data_count!D44&gt;=450,0,ROUND((450-Data_count!D44)/9,0)))
   ),
   IF(ISNUMBER(SEARCH("Full-Time",E44)),
      IF(Data_count!D44&lt;=180,10,IF(Data_count!D44&gt;=270,0,ROUND((270-Data_count!D44)/9,0))),
      IF(Data_count!D44&lt;=270,10,IF(Data_count!D44&gt;=360,0,ROUND((360-Data_count!D44)/9,0)))
   )
))</f>
        <v/>
      </c>
      <c r="G44" t="str">
        <f>IF(Data_count!E44="","",
IF(Data_count!E44&lt;=0,0,
MIN(10, INT(Data_count!E44/36)*2)))</f>
        <v/>
      </c>
      <c r="H44" t="str">
        <f>IF(A44="","",IF(COUNTIF(PPM_Student!E44:'PPM_Student'!T44,"US")&gt;=3,0,10-COUNTIF(PPM_Student!E44:'PPM_Student'!T44,"US")))</f>
        <v/>
      </c>
      <c r="I44" t="str">
        <f>IF(Data_count!F44="","",
IF(ISNUMBER(SEARCH("Ph.D",D44)),
   IF(Data_count!G44="","",
      ROUND(
        ( MAX(0,10-QUOTIENT(MAX(0,Data_count!F44-720),7))
        + MAX(0,10-QUOTIENT(MAX(0,Data_count!G44-720),7)) )/2, 0)
   ),
   MAX(0,10-QUOTIENT(MAX(0,Data_count!F44-450),7))
))</f>
        <v/>
      </c>
      <c r="J44" t="str">
        <f t="shared" si="0"/>
        <v/>
      </c>
    </row>
    <row r="45" spans="1:10">
      <c r="A45" t="str">
        <f>IF(Data_input!A45="","",Data_input!A45)</f>
        <v/>
      </c>
      <c r="B45" t="str">
        <f>IF(Data_input!B45="","",Data_input!B45)</f>
        <v/>
      </c>
      <c r="C45" t="str">
        <f>IF(Data_input!C45="","",Data_input!C45)</f>
        <v/>
      </c>
      <c r="D45" t="str">
        <f>IF(Data_input!L45="","",Data_input!L45)</f>
        <v/>
      </c>
      <c r="E45" t="str">
        <f>IF(Data_input!K45="","",Data_input!K45)</f>
        <v/>
      </c>
      <c r="F45" t="str">
        <f>IF(Data_count!D45="","",
IF(ISNUMBER(SEARCH("Ph.D",D45)),
   IF(ISNUMBER(SEARCH("Full-Time",E45)),
      IF(Data_count!D45&lt;=270,10,IF(Data_count!D45&gt;=360,0,ROUND((360-Data_count!D45)/9,0))),
      IF(Data_count!D45&lt;=360,10,IF(Data_count!D45&gt;=450,0,ROUND((450-Data_count!D45)/9,0)))
   ),
   IF(ISNUMBER(SEARCH("Full-Time",E45)),
      IF(Data_count!D45&lt;=180,10,IF(Data_count!D45&gt;=270,0,ROUND((270-Data_count!D45)/9,0))),
      IF(Data_count!D45&lt;=270,10,IF(Data_count!D45&gt;=360,0,ROUND((360-Data_count!D45)/9,0)))
   )
))</f>
        <v/>
      </c>
      <c r="G45" t="str">
        <f>IF(Data_count!E45="","",
IF(Data_count!E45&lt;=0,0,
MIN(10, INT(Data_count!E45/36)*2)))</f>
        <v/>
      </c>
      <c r="H45" t="str">
        <f>IF(A45="","",IF(COUNTIF(PPM_Student!E45:'PPM_Student'!T45,"US")&gt;=3,0,10-COUNTIF(PPM_Student!E45:'PPM_Student'!T45,"US")))</f>
        <v/>
      </c>
      <c r="I45" t="str">
        <f>IF(Data_count!F45="","",
IF(ISNUMBER(SEARCH("Ph.D",D45)),
   IF(Data_count!G45="","",
      ROUND(
        ( MAX(0,10-QUOTIENT(MAX(0,Data_count!F45-720),7))
        + MAX(0,10-QUOTIENT(MAX(0,Data_count!G45-720),7)) )/2, 0)
   ),
   MAX(0,10-QUOTIENT(MAX(0,Data_count!F45-450),7))
))</f>
        <v/>
      </c>
      <c r="J45" t="str">
        <f t="shared" si="0"/>
        <v/>
      </c>
    </row>
    <row r="46" spans="1:10">
      <c r="A46" t="str">
        <f>IF(Data_input!A46="","",Data_input!A46)</f>
        <v/>
      </c>
      <c r="B46" t="str">
        <f>IF(Data_input!B46="","",Data_input!B46)</f>
        <v/>
      </c>
      <c r="C46" t="str">
        <f>IF(Data_input!C46="","",Data_input!C46)</f>
        <v/>
      </c>
      <c r="D46" t="str">
        <f>IF(Data_input!L46="","",Data_input!L46)</f>
        <v/>
      </c>
      <c r="E46" t="str">
        <f>IF(Data_input!K46="","",Data_input!K46)</f>
        <v/>
      </c>
      <c r="F46" t="str">
        <f>IF(Data_count!D46="","",
IF(ISNUMBER(SEARCH("Ph.D",D46)),
   IF(ISNUMBER(SEARCH("Full-Time",E46)),
      IF(Data_count!D46&lt;=270,10,IF(Data_count!D46&gt;=360,0,ROUND((360-Data_count!D46)/9,0))),
      IF(Data_count!D46&lt;=360,10,IF(Data_count!D46&gt;=450,0,ROUND((450-Data_count!D46)/9,0)))
   ),
   IF(ISNUMBER(SEARCH("Full-Time",E46)),
      IF(Data_count!D46&lt;=180,10,IF(Data_count!D46&gt;=270,0,ROUND((270-Data_count!D46)/9,0))),
      IF(Data_count!D46&lt;=270,10,IF(Data_count!D46&gt;=360,0,ROUND((360-Data_count!D46)/9,0)))
   )
))</f>
        <v/>
      </c>
      <c r="G46" t="str">
        <f>IF(Data_count!E46="","",
IF(Data_count!E46&lt;=0,0,
MIN(10, INT(Data_count!E46/36)*2)))</f>
        <v/>
      </c>
      <c r="H46" t="str">
        <f>IF(A46="","",IF(COUNTIF(PPM_Student!E46:'PPM_Student'!T46,"US")&gt;=3,0,10-COUNTIF(PPM_Student!E46:'PPM_Student'!T46,"US")))</f>
        <v/>
      </c>
      <c r="I46" t="str">
        <f>IF(Data_count!F46="","",
IF(ISNUMBER(SEARCH("Ph.D",D46)),
   IF(Data_count!G46="","",
      ROUND(
        ( MAX(0,10-QUOTIENT(MAX(0,Data_count!F46-720),7))
        + MAX(0,10-QUOTIENT(MAX(0,Data_count!G46-720),7)) )/2, 0)
   ),
   MAX(0,10-QUOTIENT(MAX(0,Data_count!F46-450),7))
))</f>
        <v/>
      </c>
      <c r="J46" t="str">
        <f t="shared" si="0"/>
        <v/>
      </c>
    </row>
    <row r="47" spans="1:10">
      <c r="A47" t="str">
        <f>IF(Data_input!A47="","",Data_input!A47)</f>
        <v/>
      </c>
      <c r="B47" t="str">
        <f>IF(Data_input!B47="","",Data_input!B47)</f>
        <v/>
      </c>
      <c r="C47" t="str">
        <f>IF(Data_input!C47="","",Data_input!C47)</f>
        <v/>
      </c>
      <c r="D47" t="str">
        <f>IF(Data_input!L47="","",Data_input!L47)</f>
        <v/>
      </c>
      <c r="E47" t="str">
        <f>IF(Data_input!K47="","",Data_input!K47)</f>
        <v/>
      </c>
      <c r="F47" t="str">
        <f>IF(Data_count!D47="","",
IF(ISNUMBER(SEARCH("Ph.D",D47)),
   IF(ISNUMBER(SEARCH("Full-Time",E47)),
      IF(Data_count!D47&lt;=270,10,IF(Data_count!D47&gt;=360,0,ROUND((360-Data_count!D47)/9,0))),
      IF(Data_count!D47&lt;=360,10,IF(Data_count!D47&gt;=450,0,ROUND((450-Data_count!D47)/9,0)))
   ),
   IF(ISNUMBER(SEARCH("Full-Time",E47)),
      IF(Data_count!D47&lt;=180,10,IF(Data_count!D47&gt;=270,0,ROUND((270-Data_count!D47)/9,0))),
      IF(Data_count!D47&lt;=270,10,IF(Data_count!D47&gt;=360,0,ROUND((360-Data_count!D47)/9,0)))
   )
))</f>
        <v/>
      </c>
      <c r="G47" t="str">
        <f>IF(Data_count!E47="","",
IF(Data_count!E47&lt;=0,0,
MIN(10, INT(Data_count!E47/36)*2)))</f>
        <v/>
      </c>
      <c r="H47" t="str">
        <f>IF(A47="","",IF(COUNTIF(PPM_Student!E47:'PPM_Student'!T47,"US")&gt;=3,0,10-COUNTIF(PPM_Student!E47:'PPM_Student'!T47,"US")))</f>
        <v/>
      </c>
      <c r="I47" t="str">
        <f>IF(Data_count!F47="","",
IF(ISNUMBER(SEARCH("Ph.D",D47)),
   IF(Data_count!G47="","",
      ROUND(
        ( MAX(0,10-QUOTIENT(MAX(0,Data_count!F47-720),7))
        + MAX(0,10-QUOTIENT(MAX(0,Data_count!G47-720),7)) )/2, 0)
   ),
   MAX(0,10-QUOTIENT(MAX(0,Data_count!F47-450),7))
))</f>
        <v/>
      </c>
      <c r="J47" t="str">
        <f t="shared" si="0"/>
        <v/>
      </c>
    </row>
    <row r="48" spans="1:10">
      <c r="A48" t="str">
        <f>IF(Data_input!A48="","",Data_input!A48)</f>
        <v/>
      </c>
      <c r="B48" t="str">
        <f>IF(Data_input!B48="","",Data_input!B48)</f>
        <v/>
      </c>
      <c r="C48" t="str">
        <f>IF(Data_input!C48="","",Data_input!C48)</f>
        <v/>
      </c>
      <c r="D48" t="str">
        <f>IF(Data_input!L48="","",Data_input!L48)</f>
        <v/>
      </c>
      <c r="E48" t="str">
        <f>IF(Data_input!K48="","",Data_input!K48)</f>
        <v/>
      </c>
      <c r="F48" t="str">
        <f>IF(Data_count!D48="","",
IF(ISNUMBER(SEARCH("Ph.D",D48)),
   IF(ISNUMBER(SEARCH("Full-Time",E48)),
      IF(Data_count!D48&lt;=270,10,IF(Data_count!D48&gt;=360,0,ROUND((360-Data_count!D48)/9,0))),
      IF(Data_count!D48&lt;=360,10,IF(Data_count!D48&gt;=450,0,ROUND((450-Data_count!D48)/9,0)))
   ),
   IF(ISNUMBER(SEARCH("Full-Time",E48)),
      IF(Data_count!D48&lt;=180,10,IF(Data_count!D48&gt;=270,0,ROUND((270-Data_count!D48)/9,0))),
      IF(Data_count!D48&lt;=270,10,IF(Data_count!D48&gt;=360,0,ROUND((360-Data_count!D48)/9,0)))
   )
))</f>
        <v/>
      </c>
      <c r="G48" t="str">
        <f>IF(Data_count!E48="","",
IF(Data_count!E48&lt;=0,0,
MIN(10, INT(Data_count!E48/36)*2)))</f>
        <v/>
      </c>
      <c r="H48" t="str">
        <f>IF(A48="","",IF(COUNTIF(PPM_Student!E48:'PPM_Student'!T48,"US")&gt;=3,0,10-COUNTIF(PPM_Student!E48:'PPM_Student'!T48,"US")))</f>
        <v/>
      </c>
      <c r="I48" t="str">
        <f>IF(Data_count!F48="","",
IF(ISNUMBER(SEARCH("Ph.D",D48)),
   IF(Data_count!G48="","",
      ROUND(
        ( MAX(0,10-QUOTIENT(MAX(0,Data_count!F48-720),7))
        + MAX(0,10-QUOTIENT(MAX(0,Data_count!G48-720),7)) )/2, 0)
   ),
   MAX(0,10-QUOTIENT(MAX(0,Data_count!F48-450),7))
))</f>
        <v/>
      </c>
      <c r="J48" t="str">
        <f t="shared" si="0"/>
        <v/>
      </c>
    </row>
    <row r="49" spans="1:10">
      <c r="A49" t="str">
        <f>IF(Data_input!A49="","",Data_input!A49)</f>
        <v/>
      </c>
      <c r="B49" t="str">
        <f>IF(Data_input!B49="","",Data_input!B49)</f>
        <v/>
      </c>
      <c r="C49" t="str">
        <f>IF(Data_input!C49="","",Data_input!C49)</f>
        <v/>
      </c>
      <c r="D49" t="str">
        <f>IF(Data_input!L49="","",Data_input!L49)</f>
        <v/>
      </c>
      <c r="E49" t="str">
        <f>IF(Data_input!K49="","",Data_input!K49)</f>
        <v/>
      </c>
      <c r="F49" t="str">
        <f>IF(Data_count!D49="","",
IF(ISNUMBER(SEARCH("Ph.D",D49)),
   IF(ISNUMBER(SEARCH("Full-Time",E49)),
      IF(Data_count!D49&lt;=270,10,IF(Data_count!D49&gt;=360,0,ROUND((360-Data_count!D49)/9,0))),
      IF(Data_count!D49&lt;=360,10,IF(Data_count!D49&gt;=450,0,ROUND((450-Data_count!D49)/9,0)))
   ),
   IF(ISNUMBER(SEARCH("Full-Time",E49)),
      IF(Data_count!D49&lt;=180,10,IF(Data_count!D49&gt;=270,0,ROUND((270-Data_count!D49)/9,0))),
      IF(Data_count!D49&lt;=270,10,IF(Data_count!D49&gt;=360,0,ROUND((360-Data_count!D49)/9,0)))
   )
))</f>
        <v/>
      </c>
      <c r="G49" t="str">
        <f>IF(Data_count!E49="","",
IF(Data_count!E49&lt;=0,0,
MIN(10, INT(Data_count!E49/36)*2)))</f>
        <v/>
      </c>
      <c r="H49" t="str">
        <f>IF(A49="","",IF(COUNTIF(PPM_Student!E49:'PPM_Student'!T49,"US")&gt;=3,0,10-COUNTIF(PPM_Student!E49:'PPM_Student'!T49,"US")))</f>
        <v/>
      </c>
      <c r="I49" t="str">
        <f>IF(Data_count!F49="","",
IF(ISNUMBER(SEARCH("Ph.D",D49)),
   IF(Data_count!G49="","",
      ROUND(
        ( MAX(0,10-QUOTIENT(MAX(0,Data_count!F49-720),7))
        + MAX(0,10-QUOTIENT(MAX(0,Data_count!G49-720),7)) )/2, 0)
   ),
   MAX(0,10-QUOTIENT(MAX(0,Data_count!F49-450),7))
))</f>
        <v/>
      </c>
      <c r="J49" t="str">
        <f t="shared" si="0"/>
        <v/>
      </c>
    </row>
    <row r="50" spans="1:10">
      <c r="A50" t="str">
        <f>IF(Data_input!A50="","",Data_input!A50)</f>
        <v/>
      </c>
      <c r="B50" t="str">
        <f>IF(Data_input!B50="","",Data_input!B50)</f>
        <v/>
      </c>
      <c r="C50" t="str">
        <f>IF(Data_input!C50="","",Data_input!C50)</f>
        <v/>
      </c>
      <c r="D50" t="str">
        <f>IF(Data_input!L50="","",Data_input!L50)</f>
        <v/>
      </c>
      <c r="E50" t="str">
        <f>IF(Data_input!K50="","",Data_input!K50)</f>
        <v/>
      </c>
      <c r="F50" t="str">
        <f>IF(Data_count!D50="","",
IF(ISNUMBER(SEARCH("Ph.D",D50)),
   IF(ISNUMBER(SEARCH("Full-Time",E50)),
      IF(Data_count!D50&lt;=270,10,IF(Data_count!D50&gt;=360,0,ROUND((360-Data_count!D50)/9,0))),
      IF(Data_count!D50&lt;=360,10,IF(Data_count!D50&gt;=450,0,ROUND((450-Data_count!D50)/9,0)))
   ),
   IF(ISNUMBER(SEARCH("Full-Time",E50)),
      IF(Data_count!D50&lt;=180,10,IF(Data_count!D50&gt;=270,0,ROUND((270-Data_count!D50)/9,0))),
      IF(Data_count!D50&lt;=270,10,IF(Data_count!D50&gt;=360,0,ROUND((360-Data_count!D50)/9,0)))
   )
))</f>
        <v/>
      </c>
      <c r="G50" t="str">
        <f>IF(Data_count!E50="","",
IF(Data_count!E50&lt;=0,0,
MIN(10, INT(Data_count!E50/36)*2)))</f>
        <v/>
      </c>
      <c r="H50" t="str">
        <f>IF(A50="","",IF(COUNTIF(PPM_Student!E50:'PPM_Student'!T50,"US")&gt;=3,0,10-COUNTIF(PPM_Student!E50:'PPM_Student'!T50,"US")))</f>
        <v/>
      </c>
      <c r="I50" t="str">
        <f>IF(Data_count!F50="","",
IF(ISNUMBER(SEARCH("Ph.D",D50)),
   IF(Data_count!G50="","",
      ROUND(
        ( MAX(0,10-QUOTIENT(MAX(0,Data_count!F50-720),7))
        + MAX(0,10-QUOTIENT(MAX(0,Data_count!G50-720),7)) )/2, 0)
   ),
   MAX(0,10-QUOTIENT(MAX(0,Data_count!F50-450),7))
))</f>
        <v/>
      </c>
      <c r="J50" t="str">
        <f t="shared" si="0"/>
        <v/>
      </c>
    </row>
    <row r="51" spans="1:10">
      <c r="A51" t="str">
        <f>IF(Data_input!A51="","",Data_input!A51)</f>
        <v/>
      </c>
      <c r="B51" t="str">
        <f>IF(Data_input!B51="","",Data_input!B51)</f>
        <v/>
      </c>
      <c r="C51" t="str">
        <f>IF(Data_input!C51="","",Data_input!C51)</f>
        <v/>
      </c>
      <c r="D51" t="str">
        <f>IF(Data_input!L51="","",Data_input!L51)</f>
        <v/>
      </c>
      <c r="E51" t="str">
        <f>IF(Data_input!K51="","",Data_input!K51)</f>
        <v/>
      </c>
      <c r="F51" t="str">
        <f>IF(Data_count!D51="","",
IF(ISNUMBER(SEARCH("Ph.D",D51)),
   IF(ISNUMBER(SEARCH("Full-Time",E51)),
      IF(Data_count!D51&lt;=270,10,IF(Data_count!D51&gt;=360,0,ROUND((360-Data_count!D51)/9,0))),
      IF(Data_count!D51&lt;=360,10,IF(Data_count!D51&gt;=450,0,ROUND((450-Data_count!D51)/9,0)))
   ),
   IF(ISNUMBER(SEARCH("Full-Time",E51)),
      IF(Data_count!D51&lt;=180,10,IF(Data_count!D51&gt;=270,0,ROUND((270-Data_count!D51)/9,0))),
      IF(Data_count!D51&lt;=270,10,IF(Data_count!D51&gt;=360,0,ROUND((360-Data_count!D51)/9,0)))
   )
))</f>
        <v/>
      </c>
      <c r="G51" t="str">
        <f>IF(Data_count!E51="","",
IF(Data_count!E51&lt;=0,0,
MIN(10, INT(Data_count!E51/36)*2)))</f>
        <v/>
      </c>
      <c r="H51" t="str">
        <f>IF(A51="","",IF(COUNTIF(PPM_Student!E51:'PPM_Student'!T51,"US")&gt;=3,0,10-COUNTIF(PPM_Student!E51:'PPM_Student'!T51,"US")))</f>
        <v/>
      </c>
      <c r="I51" t="str">
        <f>IF(Data_count!F51="","",
IF(ISNUMBER(SEARCH("Ph.D",D51)),
   IF(Data_count!G51="","",
      ROUND(
        ( MAX(0,10-QUOTIENT(MAX(0,Data_count!F51-720),7))
        + MAX(0,10-QUOTIENT(MAX(0,Data_count!G51-720),7)) )/2, 0)
   ),
   MAX(0,10-QUOTIENT(MAX(0,Data_count!F51-450),7))
))</f>
        <v/>
      </c>
      <c r="J51" t="str">
        <f t="shared" si="0"/>
        <v/>
      </c>
    </row>
    <row r="52" spans="1:10">
      <c r="A52" t="str">
        <f>IF(Data_input!A52="","",Data_input!A52)</f>
        <v/>
      </c>
      <c r="B52" t="str">
        <f>IF(Data_input!B52="","",Data_input!B52)</f>
        <v/>
      </c>
      <c r="C52" t="str">
        <f>IF(Data_input!C52="","",Data_input!C52)</f>
        <v/>
      </c>
      <c r="D52" t="str">
        <f>IF(Data_input!L52="","",Data_input!L52)</f>
        <v/>
      </c>
      <c r="E52" t="str">
        <f>IF(Data_input!K52="","",Data_input!K52)</f>
        <v/>
      </c>
      <c r="F52" t="str">
        <f>IF(Data_count!D52="","",
IF(ISNUMBER(SEARCH("Ph.D",D52)),
   IF(ISNUMBER(SEARCH("Full-Time",E52)),
      IF(Data_count!D52&lt;=270,10,IF(Data_count!D52&gt;=360,0,ROUND((360-Data_count!D52)/9,0))),
      IF(Data_count!D52&lt;=360,10,IF(Data_count!D52&gt;=450,0,ROUND((450-Data_count!D52)/9,0)))
   ),
   IF(ISNUMBER(SEARCH("Full-Time",E52)),
      IF(Data_count!D52&lt;=180,10,IF(Data_count!D52&gt;=270,0,ROUND((270-Data_count!D52)/9,0))),
      IF(Data_count!D52&lt;=270,10,IF(Data_count!D52&gt;=360,0,ROUND((360-Data_count!D52)/9,0)))
   )
))</f>
        <v/>
      </c>
      <c r="G52" t="str">
        <f>IF(Data_count!E52="","",
IF(Data_count!E52&lt;=0,0,
MIN(10, INT(Data_count!E52/36)*2)))</f>
        <v/>
      </c>
      <c r="H52" t="str">
        <f>IF(A52="","",IF(COUNTIF(PPM_Student!E52:'PPM_Student'!T52,"US")&gt;=3,0,10-COUNTIF(PPM_Student!E52:'PPM_Student'!T52,"US")))</f>
        <v/>
      </c>
      <c r="I52" t="str">
        <f>IF(Data_count!F52="","",
IF(ISNUMBER(SEARCH("Ph.D",D52)),
   IF(Data_count!G52="","",
      ROUND(
        ( MAX(0,10-QUOTIENT(MAX(0,Data_count!F52-720),7))
        + MAX(0,10-QUOTIENT(MAX(0,Data_count!G52-720),7)) )/2, 0)
   ),
   MAX(0,10-QUOTIENT(MAX(0,Data_count!F52-450),7))
))</f>
        <v/>
      </c>
      <c r="J52" t="str">
        <f t="shared" si="0"/>
        <v/>
      </c>
    </row>
    <row r="53" spans="1:10">
      <c r="A53" t="str">
        <f>IF(Data_input!A53="","",Data_input!A53)</f>
        <v/>
      </c>
      <c r="B53" t="str">
        <f>IF(Data_input!B53="","",Data_input!B53)</f>
        <v/>
      </c>
      <c r="C53" t="str">
        <f>IF(Data_input!C53="","",Data_input!C53)</f>
        <v/>
      </c>
      <c r="D53" t="str">
        <f>IF(Data_input!L53="","",Data_input!L53)</f>
        <v/>
      </c>
      <c r="E53" t="str">
        <f>IF(Data_input!K53="","",Data_input!K53)</f>
        <v/>
      </c>
      <c r="F53" t="str">
        <f>IF(Data_count!D53="","",
IF(ISNUMBER(SEARCH("Ph.D",D53)),
   IF(ISNUMBER(SEARCH("Full-Time",E53)),
      IF(Data_count!D53&lt;=270,10,IF(Data_count!D53&gt;=360,0,ROUND((360-Data_count!D53)/9,0))),
      IF(Data_count!D53&lt;=360,10,IF(Data_count!D53&gt;=450,0,ROUND((450-Data_count!D53)/9,0)))
   ),
   IF(ISNUMBER(SEARCH("Full-Time",E53)),
      IF(Data_count!D53&lt;=180,10,IF(Data_count!D53&gt;=270,0,ROUND((270-Data_count!D53)/9,0))),
      IF(Data_count!D53&lt;=270,10,IF(Data_count!D53&gt;=360,0,ROUND((360-Data_count!D53)/9,0)))
   )
))</f>
        <v/>
      </c>
      <c r="G53" t="str">
        <f>IF(Data_count!E53="","",
IF(Data_count!E53&lt;=0,0,
MIN(10, INT(Data_count!E53/36)*2)))</f>
        <v/>
      </c>
      <c r="H53" t="str">
        <f>IF(A53="","",IF(COUNTIF(PPM_Student!E53:'PPM_Student'!T53,"US")&gt;=3,0,10-COUNTIF(PPM_Student!E53:'PPM_Student'!T53,"US")))</f>
        <v/>
      </c>
      <c r="I53" t="str">
        <f>IF(Data_count!F53="","",
IF(ISNUMBER(SEARCH("Ph.D",D53)),
   IF(Data_count!G53="","",
      ROUND(
        ( MAX(0,10-QUOTIENT(MAX(0,Data_count!F53-720),7))
        + MAX(0,10-QUOTIENT(MAX(0,Data_count!G53-720),7)) )/2, 0)
   ),
   MAX(0,10-QUOTIENT(MAX(0,Data_count!F53-450),7))
))</f>
        <v/>
      </c>
      <c r="J53" t="str">
        <f t="shared" si="0"/>
        <v/>
      </c>
    </row>
    <row r="54" spans="1:10">
      <c r="A54" t="str">
        <f>IF(Data_input!A54="","",Data_input!A54)</f>
        <v/>
      </c>
      <c r="B54" t="str">
        <f>IF(Data_input!B54="","",Data_input!B54)</f>
        <v/>
      </c>
      <c r="C54" t="str">
        <f>IF(Data_input!C54="","",Data_input!C54)</f>
        <v/>
      </c>
      <c r="D54" t="str">
        <f>IF(Data_input!L54="","",Data_input!L54)</f>
        <v/>
      </c>
      <c r="E54" t="str">
        <f>IF(Data_input!K54="","",Data_input!K54)</f>
        <v/>
      </c>
      <c r="F54" t="str">
        <f>IF(Data_count!D54="","",
IF(ISNUMBER(SEARCH("Ph.D",D54)),
   IF(ISNUMBER(SEARCH("Full-Time",E54)),
      IF(Data_count!D54&lt;=270,10,IF(Data_count!D54&gt;=360,0,ROUND((360-Data_count!D54)/9,0))),
      IF(Data_count!D54&lt;=360,10,IF(Data_count!D54&gt;=450,0,ROUND((450-Data_count!D54)/9,0)))
   ),
   IF(ISNUMBER(SEARCH("Full-Time",E54)),
      IF(Data_count!D54&lt;=180,10,IF(Data_count!D54&gt;=270,0,ROUND((270-Data_count!D54)/9,0))),
      IF(Data_count!D54&lt;=270,10,IF(Data_count!D54&gt;=360,0,ROUND((360-Data_count!D54)/9,0)))
   )
))</f>
        <v/>
      </c>
      <c r="G54" t="str">
        <f>IF(Data_count!E54="","",
IF(Data_count!E54&lt;=0,0,
MIN(10, INT(Data_count!E54/36)*2)))</f>
        <v/>
      </c>
      <c r="H54" t="str">
        <f>IF(A54="","",IF(COUNTIF(PPM_Student!E54:'PPM_Student'!T54,"US")&gt;=3,0,10-COUNTIF(PPM_Student!E54:'PPM_Student'!T54,"US")))</f>
        <v/>
      </c>
      <c r="I54" t="str">
        <f>IF(Data_count!F54="","",
IF(ISNUMBER(SEARCH("Ph.D",D54)),
   IF(Data_count!G54="","",
      ROUND(
        ( MAX(0,10-QUOTIENT(MAX(0,Data_count!F54-720),7))
        + MAX(0,10-QUOTIENT(MAX(0,Data_count!G54-720),7)) )/2, 0)
   ),
   MAX(0,10-QUOTIENT(MAX(0,Data_count!F54-450),7))
))</f>
        <v/>
      </c>
      <c r="J54" t="str">
        <f t="shared" si="0"/>
        <v/>
      </c>
    </row>
    <row r="55" spans="1:10">
      <c r="A55" t="str">
        <f>IF(Data_input!A55="","",Data_input!A55)</f>
        <v/>
      </c>
      <c r="B55" t="str">
        <f>IF(Data_input!B55="","",Data_input!B55)</f>
        <v/>
      </c>
      <c r="C55" t="str">
        <f>IF(Data_input!C55="","",Data_input!C55)</f>
        <v/>
      </c>
      <c r="D55" t="str">
        <f>IF(Data_input!L55="","",Data_input!L55)</f>
        <v/>
      </c>
      <c r="E55" t="str">
        <f>IF(Data_input!K55="","",Data_input!K55)</f>
        <v/>
      </c>
      <c r="F55" t="str">
        <f>IF(Data_count!D55="","",
IF(ISNUMBER(SEARCH("Ph.D",D55)),
   IF(ISNUMBER(SEARCH("Full-Time",E55)),
      IF(Data_count!D55&lt;=270,10,IF(Data_count!D55&gt;=360,0,ROUND((360-Data_count!D55)/9,0))),
      IF(Data_count!D55&lt;=360,10,IF(Data_count!D55&gt;=450,0,ROUND((450-Data_count!D55)/9,0)))
   ),
   IF(ISNUMBER(SEARCH("Full-Time",E55)),
      IF(Data_count!D55&lt;=180,10,IF(Data_count!D55&gt;=270,0,ROUND((270-Data_count!D55)/9,0))),
      IF(Data_count!D55&lt;=270,10,IF(Data_count!D55&gt;=360,0,ROUND((360-Data_count!D55)/9,0)))
   )
))</f>
        <v/>
      </c>
      <c r="G55" t="str">
        <f>IF(Data_count!E55="","",
IF(Data_count!E55&lt;=0,0,
MIN(10, INT(Data_count!E55/36)*2)))</f>
        <v/>
      </c>
      <c r="H55" t="str">
        <f>IF(A55="","",IF(COUNTIF(PPM_Student!E55:'PPM_Student'!T55,"US")&gt;=3,0,10-COUNTIF(PPM_Student!E55:'PPM_Student'!T55,"US")))</f>
        <v/>
      </c>
      <c r="I55" t="str">
        <f>IF(Data_count!F55="","",
IF(ISNUMBER(SEARCH("Ph.D",D55)),
   IF(Data_count!G55="","",
      ROUND(
        ( MAX(0,10-QUOTIENT(MAX(0,Data_count!F55-720),7))
        + MAX(0,10-QUOTIENT(MAX(0,Data_count!G55-720),7)) )/2, 0)
   ),
   MAX(0,10-QUOTIENT(MAX(0,Data_count!F55-450),7))
))</f>
        <v/>
      </c>
      <c r="J55" t="str">
        <f t="shared" si="0"/>
        <v/>
      </c>
    </row>
    <row r="56" spans="1:10">
      <c r="A56" t="str">
        <f>IF(Data_input!A56="","",Data_input!A56)</f>
        <v/>
      </c>
      <c r="B56" t="str">
        <f>IF(Data_input!B56="","",Data_input!B56)</f>
        <v/>
      </c>
      <c r="C56" t="str">
        <f>IF(Data_input!C56="","",Data_input!C56)</f>
        <v/>
      </c>
      <c r="D56" t="str">
        <f>IF(Data_input!L56="","",Data_input!L56)</f>
        <v/>
      </c>
      <c r="E56" t="str">
        <f>IF(Data_input!K56="","",Data_input!K56)</f>
        <v/>
      </c>
      <c r="F56" t="str">
        <f>IF(Data_count!D56="","",
IF(ISNUMBER(SEARCH("Ph.D",D56)),
   IF(ISNUMBER(SEARCH("Full-Time",E56)),
      IF(Data_count!D56&lt;=270,10,IF(Data_count!D56&gt;=360,0,ROUND((360-Data_count!D56)/9,0))),
      IF(Data_count!D56&lt;=360,10,IF(Data_count!D56&gt;=450,0,ROUND((450-Data_count!D56)/9,0)))
   ),
   IF(ISNUMBER(SEARCH("Full-Time",E56)),
      IF(Data_count!D56&lt;=180,10,IF(Data_count!D56&gt;=270,0,ROUND((270-Data_count!D56)/9,0))),
      IF(Data_count!D56&lt;=270,10,IF(Data_count!D56&gt;=360,0,ROUND((360-Data_count!D56)/9,0)))
   )
))</f>
        <v/>
      </c>
      <c r="G56" t="str">
        <f>IF(Data_count!E56="","",
IF(Data_count!E56&lt;=0,0,
MIN(10, INT(Data_count!E56/36)*2)))</f>
        <v/>
      </c>
      <c r="H56" t="str">
        <f>IF(A56="","",IF(COUNTIF(PPM_Student!E56:'PPM_Student'!T56,"US")&gt;=3,0,10-COUNTIF(PPM_Student!E56:'PPM_Student'!T56,"US")))</f>
        <v/>
      </c>
      <c r="I56" t="str">
        <f>IF(Data_count!F56="","",
IF(ISNUMBER(SEARCH("Ph.D",D56)),
   IF(Data_count!G56="","",
      ROUND(
        ( MAX(0,10-QUOTIENT(MAX(0,Data_count!F56-720),7))
        + MAX(0,10-QUOTIENT(MAX(0,Data_count!G56-720),7)) )/2, 0)
   ),
   MAX(0,10-QUOTIENT(MAX(0,Data_count!F56-450),7))
))</f>
        <v/>
      </c>
      <c r="J56" t="str">
        <f t="shared" si="0"/>
        <v/>
      </c>
    </row>
    <row r="57" spans="1:10">
      <c r="A57" t="str">
        <f>IF(Data_input!A57="","",Data_input!A57)</f>
        <v/>
      </c>
      <c r="B57" t="str">
        <f>IF(Data_input!B57="","",Data_input!B57)</f>
        <v/>
      </c>
      <c r="C57" t="str">
        <f>IF(Data_input!C57="","",Data_input!C57)</f>
        <v/>
      </c>
      <c r="D57" t="str">
        <f>IF(Data_input!L57="","",Data_input!L57)</f>
        <v/>
      </c>
      <c r="E57" t="str">
        <f>IF(Data_input!K57="","",Data_input!K57)</f>
        <v/>
      </c>
      <c r="F57" t="str">
        <f>IF(Data_count!D57="","",
IF(ISNUMBER(SEARCH("Ph.D",D57)),
   IF(ISNUMBER(SEARCH("Full-Time",E57)),
      IF(Data_count!D57&lt;=270,10,IF(Data_count!D57&gt;=360,0,ROUND((360-Data_count!D57)/9,0))),
      IF(Data_count!D57&lt;=360,10,IF(Data_count!D57&gt;=450,0,ROUND((450-Data_count!D57)/9,0)))
   ),
   IF(ISNUMBER(SEARCH("Full-Time",E57)),
      IF(Data_count!D57&lt;=180,10,IF(Data_count!D57&gt;=270,0,ROUND((270-Data_count!D57)/9,0))),
      IF(Data_count!D57&lt;=270,10,IF(Data_count!D57&gt;=360,0,ROUND((360-Data_count!D57)/9,0)))
   )
))</f>
        <v/>
      </c>
      <c r="G57" t="str">
        <f>IF(Data_count!E57="","",
IF(Data_count!E57&lt;=0,0,
MIN(10, INT(Data_count!E57/36)*2)))</f>
        <v/>
      </c>
      <c r="H57" t="str">
        <f>IF(A57="","",IF(COUNTIF(PPM_Student!E57:'PPM_Student'!T57,"US")&gt;=3,0,10-COUNTIF(PPM_Student!E57:'PPM_Student'!T57,"US")))</f>
        <v/>
      </c>
      <c r="I57" t="str">
        <f>IF(Data_count!F57="","",
IF(ISNUMBER(SEARCH("Ph.D",D57)),
   IF(Data_count!G57="","",
      ROUND(
        ( MAX(0,10-QUOTIENT(MAX(0,Data_count!F57-720),7))
        + MAX(0,10-QUOTIENT(MAX(0,Data_count!G57-720),7)) )/2, 0)
   ),
   MAX(0,10-QUOTIENT(MAX(0,Data_count!F57-450),7))
))</f>
        <v/>
      </c>
      <c r="J57" t="str">
        <f t="shared" si="0"/>
        <v/>
      </c>
    </row>
    <row r="58" spans="1:10">
      <c r="A58" t="str">
        <f>IF(Data_input!A58="","",Data_input!A58)</f>
        <v/>
      </c>
      <c r="B58" t="str">
        <f>IF(Data_input!B58="","",Data_input!B58)</f>
        <v/>
      </c>
      <c r="C58" t="str">
        <f>IF(Data_input!C58="","",Data_input!C58)</f>
        <v/>
      </c>
      <c r="D58" t="str">
        <f>IF(Data_input!L58="","",Data_input!L58)</f>
        <v/>
      </c>
      <c r="E58" t="str">
        <f>IF(Data_input!K58="","",Data_input!K58)</f>
        <v/>
      </c>
      <c r="F58" t="str">
        <f>IF(Data_count!D58="","",
IF(ISNUMBER(SEARCH("Ph.D",D58)),
   IF(ISNUMBER(SEARCH("Full-Time",E58)),
      IF(Data_count!D58&lt;=270,10,IF(Data_count!D58&gt;=360,0,ROUND((360-Data_count!D58)/9,0))),
      IF(Data_count!D58&lt;=360,10,IF(Data_count!D58&gt;=450,0,ROUND((450-Data_count!D58)/9,0)))
   ),
   IF(ISNUMBER(SEARCH("Full-Time",E58)),
      IF(Data_count!D58&lt;=180,10,IF(Data_count!D58&gt;=270,0,ROUND((270-Data_count!D58)/9,0))),
      IF(Data_count!D58&lt;=270,10,IF(Data_count!D58&gt;=360,0,ROUND((360-Data_count!D58)/9,0)))
   )
))</f>
        <v/>
      </c>
      <c r="G58" t="str">
        <f>IF(Data_count!E58="","",
IF(Data_count!E58&lt;=0,0,
MIN(10, INT(Data_count!E58/36)*2)))</f>
        <v/>
      </c>
      <c r="H58" t="str">
        <f>IF(A58="","",IF(COUNTIF(PPM_Student!E58:'PPM_Student'!T58,"US")&gt;=3,0,10-COUNTIF(PPM_Student!E58:'PPM_Student'!T58,"US")))</f>
        <v/>
      </c>
      <c r="I58" t="str">
        <f>IF(Data_count!F58="","",
IF(ISNUMBER(SEARCH("Ph.D",D58)),
   IF(Data_count!G58="","",
      ROUND(
        ( MAX(0,10-QUOTIENT(MAX(0,Data_count!F58-720),7))
        + MAX(0,10-QUOTIENT(MAX(0,Data_count!G58-720),7)) )/2, 0)
   ),
   MAX(0,10-QUOTIENT(MAX(0,Data_count!F58-450),7))
))</f>
        <v/>
      </c>
      <c r="J58" t="str">
        <f t="shared" si="0"/>
        <v/>
      </c>
    </row>
    <row r="59" spans="1:10">
      <c r="A59" t="str">
        <f>IF(Data_input!A59="","",Data_input!A59)</f>
        <v/>
      </c>
      <c r="B59" t="str">
        <f>IF(Data_input!B59="","",Data_input!B59)</f>
        <v/>
      </c>
      <c r="C59" t="str">
        <f>IF(Data_input!C59="","",Data_input!C59)</f>
        <v/>
      </c>
      <c r="D59" t="str">
        <f>IF(Data_input!L59="","",Data_input!L59)</f>
        <v/>
      </c>
      <c r="E59" t="str">
        <f>IF(Data_input!K59="","",Data_input!K59)</f>
        <v/>
      </c>
      <c r="F59" t="str">
        <f>IF(Data_count!D59="","",
IF(ISNUMBER(SEARCH("Ph.D",D59)),
   IF(ISNUMBER(SEARCH("Full-Time",E59)),
      IF(Data_count!D59&lt;=270,10,IF(Data_count!D59&gt;=360,0,ROUND((360-Data_count!D59)/9,0))),
      IF(Data_count!D59&lt;=360,10,IF(Data_count!D59&gt;=450,0,ROUND((450-Data_count!D59)/9,0)))
   ),
   IF(ISNUMBER(SEARCH("Full-Time",E59)),
      IF(Data_count!D59&lt;=180,10,IF(Data_count!D59&gt;=270,0,ROUND((270-Data_count!D59)/9,0))),
      IF(Data_count!D59&lt;=270,10,IF(Data_count!D59&gt;=360,0,ROUND((360-Data_count!D59)/9,0)))
   )
))</f>
        <v/>
      </c>
      <c r="G59" t="str">
        <f>IF(Data_count!E59="","",
IF(Data_count!E59&lt;=0,0,
MIN(10, INT(Data_count!E59/36)*2)))</f>
        <v/>
      </c>
      <c r="H59" t="str">
        <f>IF(A59="","",IF(COUNTIF(PPM_Student!E59:'PPM_Student'!T59,"US")&gt;=3,0,10-COUNTIF(PPM_Student!E59:'PPM_Student'!T59,"US")))</f>
        <v/>
      </c>
      <c r="I59" t="str">
        <f>IF(Data_count!F59="","",
IF(ISNUMBER(SEARCH("Ph.D",D59)),
   IF(Data_count!G59="","",
      ROUND(
        ( MAX(0,10-QUOTIENT(MAX(0,Data_count!F59-720),7))
        + MAX(0,10-QUOTIENT(MAX(0,Data_count!G59-720),7)) )/2, 0)
   ),
   MAX(0,10-QUOTIENT(MAX(0,Data_count!F59-450),7))
))</f>
        <v/>
      </c>
      <c r="J59" t="str">
        <f t="shared" si="0"/>
        <v/>
      </c>
    </row>
    <row r="60" spans="1:10">
      <c r="A60" t="str">
        <f>IF(Data_input!A60="","",Data_input!A60)</f>
        <v/>
      </c>
      <c r="B60" t="str">
        <f>IF(Data_input!B60="","",Data_input!B60)</f>
        <v/>
      </c>
      <c r="C60" t="str">
        <f>IF(Data_input!C60="","",Data_input!C60)</f>
        <v/>
      </c>
      <c r="D60" t="str">
        <f>IF(Data_input!L60="","",Data_input!L60)</f>
        <v/>
      </c>
      <c r="E60" t="str">
        <f>IF(Data_input!K60="","",Data_input!K60)</f>
        <v/>
      </c>
      <c r="F60" t="str">
        <f>IF(Data_count!D60="","",
IF(ISNUMBER(SEARCH("Ph.D",D60)),
   IF(ISNUMBER(SEARCH("Full-Time",E60)),
      IF(Data_count!D60&lt;=270,10,IF(Data_count!D60&gt;=360,0,ROUND((360-Data_count!D60)/9,0))),
      IF(Data_count!D60&lt;=360,10,IF(Data_count!D60&gt;=450,0,ROUND((450-Data_count!D60)/9,0)))
   ),
   IF(ISNUMBER(SEARCH("Full-Time",E60)),
      IF(Data_count!D60&lt;=180,10,IF(Data_count!D60&gt;=270,0,ROUND((270-Data_count!D60)/9,0))),
      IF(Data_count!D60&lt;=270,10,IF(Data_count!D60&gt;=360,0,ROUND((360-Data_count!D60)/9,0)))
   )
))</f>
        <v/>
      </c>
      <c r="G60" t="str">
        <f>IF(Data_count!E60="","",
IF(Data_count!E60&lt;=0,0,
MIN(10, INT(Data_count!E60/36)*2)))</f>
        <v/>
      </c>
      <c r="H60" t="str">
        <f>IF(A60="","",IF(COUNTIF(PPM_Student!E60:'PPM_Student'!T60,"US")&gt;=3,0,10-COUNTIF(PPM_Student!E60:'PPM_Student'!T60,"US")))</f>
        <v/>
      </c>
      <c r="I60" t="str">
        <f>IF(Data_count!F60="","",
IF(ISNUMBER(SEARCH("Ph.D",D60)),
   IF(Data_count!G60="","",
      ROUND(
        ( MAX(0,10-QUOTIENT(MAX(0,Data_count!F60-720),7))
        + MAX(0,10-QUOTIENT(MAX(0,Data_count!G60-720),7)) )/2, 0)
   ),
   MAX(0,10-QUOTIENT(MAX(0,Data_count!F60-450),7))
))</f>
        <v/>
      </c>
      <c r="J60" t="str">
        <f t="shared" si="0"/>
        <v/>
      </c>
    </row>
    <row r="61" spans="1:10">
      <c r="A61" t="str">
        <f>IF(Data_input!A61="","",Data_input!A61)</f>
        <v/>
      </c>
      <c r="G61" t="str">
        <f>IF(Data_count!E61="","",
IF(Data_count!E61&lt;=0,0,
MIN(10, INT(Data_count!E61/36)*2)))</f>
        <v/>
      </c>
    </row>
    <row r="62" spans="1:10">
      <c r="A62" t="str">
        <f>IF(Data_input!A62="","",Data_input!A62)</f>
        <v/>
      </c>
    </row>
    <row r="63" spans="1:10">
      <c r="A63" t="str">
        <f>IF(Data_input!A63="","",Data_input!A63)</f>
        <v/>
      </c>
    </row>
    <row r="64" spans="1:10">
      <c r="A64" t="str">
        <f>IF(Data_input!A64="","",Data_input!A64)</f>
        <v/>
      </c>
    </row>
    <row r="65" spans="1:1">
      <c r="A65" t="str">
        <f>IF(Data_input!A65="","",Data_input!A65)</f>
        <v/>
      </c>
    </row>
    <row r="66" spans="1:1">
      <c r="A66" t="str">
        <f>IF(Data_input!A66="","",Data_input!A66)</f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Data_input</vt:lpstr>
      <vt:lpstr>data_coll</vt:lpstr>
      <vt:lpstr>PPM_Student</vt:lpstr>
      <vt:lpstr>Data_count</vt:lpstr>
      <vt:lpstr>Data_preview</vt:lpstr>
      <vt:lpstr>Student_Status</vt:lpstr>
      <vt:lpstr>Data_Mark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 ZHEN LOONG</dc:creator>
  <cp:lastModifiedBy>ANG ZHEN LOONG</cp:lastModifiedBy>
  <dcterms:created xsi:type="dcterms:W3CDTF">2025-09-18T16:46:58Z</dcterms:created>
  <dcterms:modified xsi:type="dcterms:W3CDTF">2025-10-24T08:28:02Z</dcterms:modified>
</cp:coreProperties>
</file>